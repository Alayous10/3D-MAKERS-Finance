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لوحة التحكم" sheetId="1" state="visible" r:id="rId3"/>
    <sheet name="رأس المال" sheetId="2" state="visible" r:id="rId4"/>
    <sheet name="مشتريات الفيلمنت" sheetId="3" state="visible" r:id="rId5"/>
    <sheet name="كتالوج المنتجات والتسعير" sheetId="4" state="visible" r:id="rId6"/>
    <sheet name="سجل المبيعات" sheetId="5" state="visible" r:id="rId7"/>
    <sheet name="الإعلانات" sheetId="6" state="visible" r:id="rId8"/>
    <sheet name="توزيع الأرباح" sheetId="7" state="visible" r:id="rId9"/>
    <sheet name="📘 دليل الاستخدام" sheetId="8" state="visible" r:id="rId10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<sst xmlns="http://schemas.openxmlformats.org/spreadsheetml/2006/main" count="98" uniqueCount="90">
  <si>
    <t xml:space="preserve">لوحة التحكم  —  مشروع 3D Makers  (شراكة محمد علايا &amp; نبيل دبّاس)</t>
  </si>
  <si>
    <t xml:space="preserve">💰 رأس المال (على محمد)</t>
  </si>
  <si>
    <t xml:space="preserve">إجمالي رأس المال المستثمر</t>
  </si>
  <si>
    <t xml:space="preserve">منه: ثمن الطابعة ثلاثية الأبعاد</t>
  </si>
  <si>
    <t xml:space="preserve">🛒 المبيعات والإيرادات</t>
  </si>
  <si>
    <t xml:space="preserve">عدد القطع المباعة</t>
  </si>
  <si>
    <t xml:space="preserve">إجمالي الإيرادات</t>
  </si>
  <si>
    <t xml:space="preserve">تكلفة التشغيل (فيلمنت + عائد طابعة + أخرى)</t>
  </si>
  <si>
    <t xml:space="preserve">ربح المبيعات</t>
  </si>
  <si>
    <t xml:space="preserve">📣 المصاريف التشغيلية</t>
  </si>
  <si>
    <t xml:space="preserve">إجمالي مصاريف الإعلانات</t>
  </si>
  <si>
    <t xml:space="preserve">📈 صافي الربح والتوزيع</t>
  </si>
  <si>
    <t xml:space="preserve">صافي الربح القابل للتوزيع (بعد الإعلانات)</t>
  </si>
  <si>
    <t xml:space="preserve">حصة محمد</t>
  </si>
  <si>
    <t xml:space="preserve">حصة نبيل</t>
  </si>
  <si>
    <t xml:space="preserve">🖨️ استرداد رأس مال الطابعة</t>
  </si>
  <si>
    <t xml:space="preserve">احتياطي استرداد الطابعة (متراكم)</t>
  </si>
  <si>
    <t xml:space="preserve">المتبقي لاسترداد ثمن الطابعة</t>
  </si>
  <si>
    <t xml:space="preserve">نسبة استرداد الطابعة</t>
  </si>
  <si>
    <t xml:space="preserve">رأس المال والمصاريف التأسيسية (على محمد)</t>
  </si>
  <si>
    <t xml:space="preserve">البند</t>
  </si>
  <si>
    <t xml:space="preserve">التاريخ</t>
  </si>
  <si>
    <t xml:space="preserve">المبلغ المدفوع ($)</t>
  </si>
  <si>
    <t xml:space="preserve">ملاحظات</t>
  </si>
  <si>
    <t xml:space="preserve">الطابعة ثلاثية الأبعاد</t>
  </si>
  <si>
    <t xml:space="preserve">⚠️ يجب أن يبقى هذا أول بند (يُستخدم لحساب استرداد الطابعة)</t>
  </si>
  <si>
    <t xml:space="preserve">الموقع الإلكتروني (المتجر)</t>
  </si>
  <si>
    <t xml:space="preserve">تكلفة بناء/استضافة المتجر</t>
  </si>
  <si>
    <t xml:space="preserve">مواد وملحقات أولية</t>
  </si>
  <si>
    <t xml:space="preserve">أول كمية فيلمنت/إكسسوارات</t>
  </si>
  <si>
    <t xml:space="preserve">الإجمالي</t>
  </si>
  <si>
    <t xml:space="preserve">سجل مشتريات الفيلمنت (المصروف النقدي الفعلي للمواد)</t>
  </si>
  <si>
    <t xml:space="preserve">الكمية (غرام)</t>
  </si>
  <si>
    <t xml:space="preserve">التكلفة ($)</t>
  </si>
  <si>
    <t xml:space="preserve">ملاحظات (اللون/النوع/المورد)</t>
  </si>
  <si>
    <t xml:space="preserve">كتالوج المنتجات وحاسبة التسعير</t>
  </si>
  <si>
    <t xml:space="preserve">سعر الـ 1000 غرام فيلمنت ($)</t>
  </si>
  <si>
    <t xml:space="preserve">🟨 الخلايا الصفراء = أرقام تعدّلها انت</t>
  </si>
  <si>
    <t xml:space="preserve">تكلفة الغرام الواحد ($)</t>
  </si>
  <si>
    <t xml:space="preserve">باقي الأعمدة تُحسب تلقائياً</t>
  </si>
  <si>
    <t xml:space="preserve">عائد الطابعة لكل ساعة تشغيل ($)</t>
  </si>
  <si>
    <t xml:space="preserve">المنتج / القطعة</t>
  </si>
  <si>
    <t xml:space="preserve">وزن الفيلمنت (غرام)</t>
  </si>
  <si>
    <t xml:space="preserve">ساعات الطباعة</t>
  </si>
  <si>
    <t xml:space="preserve">تكاليف أخرى ($)</t>
  </si>
  <si>
    <t xml:space="preserve">تكلفة الفيلمنت ($)</t>
  </si>
  <si>
    <t xml:space="preserve">عائد الطابعة ($)</t>
  </si>
  <si>
    <t xml:space="preserve">إجمالي التكلفة ($)</t>
  </si>
  <si>
    <t xml:space="preserve">سعر البيع ($)</t>
  </si>
  <si>
    <t xml:space="preserve">ربح الوحدة ($)</t>
  </si>
  <si>
    <t xml:space="preserve">الهامش %</t>
  </si>
  <si>
    <t xml:space="preserve">علاقة مفاتيح</t>
  </si>
  <si>
    <t xml:space="preserve">مجسم ديكور صغير</t>
  </si>
  <si>
    <t xml:space="preserve">حامل موبايل</t>
  </si>
  <si>
    <t xml:space="preserve">سجل المبيعات</t>
  </si>
  <si>
    <t xml:space="preserve">المنتج (اختر من القائمة)</t>
  </si>
  <si>
    <t xml:space="preserve">الكمية</t>
  </si>
  <si>
    <t xml:space="preserve">سعر البيع/وحدة ($)</t>
  </si>
  <si>
    <t xml:space="preserve">تكلفة الوحدة ($)</t>
  </si>
  <si>
    <t xml:space="preserve">عائد طابعة/وحدة ($)</t>
  </si>
  <si>
    <t xml:space="preserve">إجمالي الإيراد ($)</t>
  </si>
  <si>
    <t xml:space="preserve">صافي الربح ($)</t>
  </si>
  <si>
    <t xml:space="preserve">سجل مصاريف الإعلانات</t>
  </si>
  <si>
    <t xml:space="preserve">المنصة</t>
  </si>
  <si>
    <t xml:space="preserve">المبلغ ($)</t>
  </si>
  <si>
    <t xml:space="preserve">الحملة/المنتج</t>
  </si>
  <si>
    <t xml:space="preserve">النتيجة (مبيعات/تفاعل)</t>
  </si>
  <si>
    <t xml:space="preserve">توزيع الأرباح بين الشريكين</t>
  </si>
  <si>
    <t xml:space="preserve">نسبة محمد %</t>
  </si>
  <si>
    <t xml:space="preserve">نسبة نبيل %</t>
  </si>
  <si>
    <t xml:space="preserve">صافي الربح القابل للتوزيع ($)</t>
  </si>
  <si>
    <t xml:space="preserve">حصة محمد ($)</t>
  </si>
  <si>
    <t xml:space="preserve">حصة نبيل ($)</t>
  </si>
  <si>
    <t xml:space="preserve">ملاحظة: استرداد رأس المال (الطابعة/الموقع) يتم بشكل منفصل عن توزيع الأرباح — راجع لوحة التحكم وبند العقد.</t>
  </si>
  <si>
    <t xml:space="preserve">دليل الاستخدام السريع</t>
  </si>
  <si>
    <t xml:space="preserve">آلية العمل بإيجاز:</t>
  </si>
  <si>
    <t xml:space="preserve">1) رأس المال: سجّل فيه كل ما دفعه محمد (الطابعة أولاً، ثم الموقع، ثم المواد...). الخلية الصفراء = المبلغ.</t>
  </si>
  <si>
    <t xml:space="preserve">2) مشتريات الفيلمنت: كل مرة تشتري فيلمنت سجّل الكمية والسعر (هذا المصروف النقدي الفعلي للمواد).</t>
  </si>
  <si>
    <t xml:space="preserve">3) كتالوج المنتجات والتسعير: عرّف كل منتج مرة واحدة (الوزن بالغرام + ساعات الطباعة + تكاليف أخرى)، وحدد سعر البيع. النظام يحسب التكلفة والربح والهامش تلقائياً.</t>
  </si>
  <si>
    <t xml:space="preserve">   • تكلفة الفيلمنت = الوزن × (15 ÷ 1000) = 0.015$ للغرام.</t>
  </si>
  <si>
    <t xml:space="preserve">   • عائد الطابعة = ساعات الطباعة × 0.30$ (مبلغ يُخصَّص لاسترداد ثمن الطابعة).</t>
  </si>
  <si>
    <t xml:space="preserve">4) سجل المبيعات: عند كل عملية بيع، اختر المنتج من القائمة المنسدلة واكتب الكمية فقط — الباقي يُحسب تلقائياً.</t>
  </si>
  <si>
    <t xml:space="preserve">5) الإعلانات: سجّل مصاريف الإعلانات مستقبلاً، وتُخصم تلقائياً من الربح القابل للتوزيع.</t>
  </si>
  <si>
    <t xml:space="preserve">6) توزيع الأرباح: عدّل نسبة محمد % حسب العقد، وتُحسب حصة كل شريك تلقائياً.</t>
  </si>
  <si>
    <t xml:space="preserve">7) لوحة التحكم: تعطيك الصورة الكاملة لحظياً (إيرادات/أرباح/استرداد رأس مال الطابعة).</t>
  </si>
  <si>
    <t xml:space="preserve">منطق مالي مهم:</t>
  </si>
  <si>
    <t xml:space="preserve">• عائد الطابعة (0.30$/ساعة) ليس مصروفاً نقدياً — هو مبلغ يرجع لمحمد تدريجياً مقابل ثمن الطابعة المدفوع مسبقاً.</t>
  </si>
  <si>
    <t xml:space="preserve">• الربح القابل للتوزيع = الإيراد − (الفيلمنت + عائد الطابعة + تكاليف أخرى) − الإعلانات. هذا ما يُقسم بينكما.</t>
  </si>
  <si>
    <t xml:space="preserve">• استرداد رأس مال الطابعة يُتابَع بشكل منفصل في لوحة التحكم (الاحتياطي المتراكم مقابل ثمن الطابعة).</t>
  </si>
  <si>
    <t xml:space="preserve">🟨 أصفر = أدخل القيمة بنفسك    |    باقي الخلايا محسوبة، لا تعدّلها.</t>
  </si>
</sst>
</file>

<file path=xl/styles.xml><?xml version="1.0" encoding="utf-8"?>
<styleSheet xmlns="http://schemas.openxmlformats.org/spreadsheetml/2006/main">
  <numFmts count="6">
    <numFmt numFmtId="164" formatCode="General"/>
    <numFmt numFmtId="165" formatCode="#,##0.00&quot; $&quot;;\(#,##0.00&quot;) $&quot;;\-"/>
    <numFmt numFmtId="166" formatCode="#,##0;;\-"/>
    <numFmt numFmtId="167" formatCode="0.0%;\-0.0%;\-"/>
    <numFmt numFmtId="168" formatCode="#,##0.0000&quot; $&quot;"/>
    <numFmt numFmtId="169" formatCode="#,##0.00;;\-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b val="true"/>
      <sz val="11"/>
      <color rgb="FF1F2A44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2"/>
      <color rgb="FF1F2A44"/>
      <name val="Arial"/>
      <family val="0"/>
      <charset val="1"/>
    </font>
    <font>
      <sz val="11"/>
      <color rgb="FF000000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color rgb="FF0000FF"/>
      <name val="Arial"/>
      <family val="0"/>
      <charset val="1"/>
    </font>
    <font>
      <i val="true"/>
      <sz val="9"/>
      <color rgb="FF555555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1F2A44"/>
        <bgColor rgb="FF003366"/>
      </patternFill>
    </fill>
    <fill>
      <patternFill patternType="solid">
        <fgColor rgb="FFDCE6F1"/>
        <bgColor rgb="FFCCFFFF"/>
      </patternFill>
    </fill>
    <fill>
      <patternFill patternType="solid">
        <fgColor rgb="FFFFF2CC"/>
        <bgColor rgb="FFFFFFFF"/>
      </patternFill>
    </fill>
    <fill>
      <patternFill patternType="solid">
        <fgColor rgb="FFFFE08A"/>
        <bgColor rgb="FFFFFF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1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3" borderId="0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5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9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10" fillId="0" borderId="1" xfId="0" applyFont="true" applyBorder="true" applyAlignment="true" applyProtection="false">
      <alignment horizontal="right" vertical="center" textRotation="0" wrapText="true" indent="0" shrinkToFit="false"/>
      <protection locked="true" hidden="false"/>
    </xf>
    <xf numFmtId="164" fontId="0" fillId="0" borderId="1" xfId="0" applyFont="false" applyBorder="true" applyAlignment="true" applyProtection="false">
      <alignment horizontal="right" vertical="center" textRotation="0" wrapText="true" indent="0" shrinkToFit="false"/>
      <protection locked="true" hidden="false"/>
    </xf>
    <xf numFmtId="164" fontId="6" fillId="3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6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5" fillId="3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5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6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8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10" fillId="5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  <xf numFmtId="164" fontId="8" fillId="0" borderId="0" xfId="0" applyFont="true" applyBorder="false" applyAlignment="true" applyProtection="false">
      <alignment horizontal="right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0B0B0"/>
      <rgbColor rgb="FF808080"/>
      <rgbColor rgb="FF9999FF"/>
      <rgbColor rgb="FF993366"/>
      <rgbColor rgb="FFFFF2CC"/>
      <rgbColor rgb="FFDCE6F1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E08A"/>
      <rgbColor rgb="FF3366FF"/>
      <rgbColor rgb="FF33CCCC"/>
      <rgbColor rgb="FF99CC00"/>
      <rgbColor rgb="FFFFCC00"/>
      <rgbColor rgb="FFFF9900"/>
      <rgbColor rgb="FFFF6600"/>
      <rgbColor rgb="FF555555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1F2A44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24"/>
  <sheetViews>
    <sheetView showFormulas="false" showGridLines="true" showRowColHeaders="true" showZeros="true" rightToLeft="tru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42"/>
    <col collapsed="false" customWidth="true" hidden="false" outlineLevel="0" max="3" min="3" style="0" width="20"/>
    <col collapsed="false" customWidth="true" hidden="false" outlineLevel="0" max="4" min="4" style="0" width="30"/>
  </cols>
  <sheetData>
    <row r="1" customFormat="false" ht="30" hidden="false" customHeight="true" outlineLevel="0" collapsed="false">
      <c r="A1" s="1" t="s">
        <v>0</v>
      </c>
      <c r="B1" s="1"/>
      <c r="C1" s="1"/>
      <c r="D1" s="1"/>
    </row>
    <row r="3" customFormat="false" ht="24" hidden="false" customHeight="true" outlineLevel="0" collapsed="false">
      <c r="B3" s="2" t="s">
        <v>1</v>
      </c>
      <c r="C3" s="2"/>
    </row>
    <row r="4" customFormat="false" ht="15" hidden="false" customHeight="false" outlineLevel="0" collapsed="false">
      <c r="B4" s="3" t="s">
        <v>2</v>
      </c>
      <c r="C4" s="4" t="n">
        <f aca="false">SUM('رأس المال'!C3:C100)</f>
        <v>0</v>
      </c>
    </row>
    <row r="5" customFormat="false" ht="15" hidden="false" customHeight="false" outlineLevel="0" collapsed="false">
      <c r="B5" s="3" t="s">
        <v>3</v>
      </c>
      <c r="C5" s="5" t="n">
        <f aca="false">'رأس المال'!C3</f>
        <v>0</v>
      </c>
    </row>
    <row r="7" customFormat="false" ht="24" hidden="false" customHeight="true" outlineLevel="0" collapsed="false">
      <c r="B7" s="2" t="s">
        <v>4</v>
      </c>
      <c r="C7" s="2"/>
    </row>
    <row r="8" customFormat="false" ht="15" hidden="false" customHeight="false" outlineLevel="0" collapsed="false">
      <c r="B8" s="3" t="s">
        <v>5</v>
      </c>
      <c r="C8" s="6" t="n">
        <f aca="false">SUM('سجل المبيعات'!C3:C202)</f>
        <v>0</v>
      </c>
    </row>
    <row r="9" customFormat="false" ht="15" hidden="false" customHeight="false" outlineLevel="0" collapsed="false">
      <c r="B9" s="3" t="s">
        <v>6</v>
      </c>
      <c r="C9" s="4" t="n">
        <f aca="false">SUM('سجل المبيعات'!G3:G202)</f>
        <v>0</v>
      </c>
    </row>
    <row r="10" customFormat="false" ht="15" hidden="false" customHeight="false" outlineLevel="0" collapsed="false">
      <c r="B10" s="3" t="s">
        <v>7</v>
      </c>
      <c r="C10" s="5" t="n">
        <f aca="false">SUM('سجل المبيعات'!H3:H202)</f>
        <v>0</v>
      </c>
    </row>
    <row r="11" customFormat="false" ht="15" hidden="false" customHeight="false" outlineLevel="0" collapsed="false">
      <c r="B11" s="3" t="s">
        <v>8</v>
      </c>
      <c r="C11" s="4" t="n">
        <f aca="false">SUM('سجل المبيعات'!J3:J202)</f>
        <v>0</v>
      </c>
    </row>
    <row r="13" customFormat="false" ht="24" hidden="false" customHeight="true" outlineLevel="0" collapsed="false">
      <c r="B13" s="2" t="s">
        <v>9</v>
      </c>
      <c r="C13" s="2"/>
    </row>
    <row r="14" customFormat="false" ht="15" hidden="false" customHeight="false" outlineLevel="0" collapsed="false">
      <c r="B14" s="3" t="s">
        <v>10</v>
      </c>
      <c r="C14" s="5" t="n">
        <f aca="false">SUM(الإعلانات!C3:C100)</f>
        <v>0</v>
      </c>
    </row>
    <row r="16" customFormat="false" ht="24" hidden="false" customHeight="true" outlineLevel="0" collapsed="false">
      <c r="B16" s="2" t="s">
        <v>11</v>
      </c>
      <c r="C16" s="2"/>
    </row>
    <row r="17" customFormat="false" ht="15" hidden="false" customHeight="false" outlineLevel="0" collapsed="false">
      <c r="B17" s="3" t="s">
        <v>12</v>
      </c>
      <c r="C17" s="4" t="n">
        <f aca="false">SUM('سجل المبيعات'!J3:J202)-SUM(الإعلانات!C3:C100)</f>
        <v>0</v>
      </c>
    </row>
    <row r="18" customFormat="false" ht="15" hidden="false" customHeight="false" outlineLevel="0" collapsed="false">
      <c r="B18" s="3" t="s">
        <v>13</v>
      </c>
      <c r="C18" s="5" t="n">
        <f aca="false">'توزيع الأرباح'!C5</f>
        <v>0</v>
      </c>
    </row>
    <row r="19" customFormat="false" ht="15" hidden="false" customHeight="false" outlineLevel="0" collapsed="false">
      <c r="B19" s="3" t="s">
        <v>14</v>
      </c>
      <c r="C19" s="5" t="n">
        <f aca="false">'توزيع الأرباح'!C6</f>
        <v>0</v>
      </c>
    </row>
    <row r="21" customFormat="false" ht="24" hidden="false" customHeight="true" outlineLevel="0" collapsed="false">
      <c r="B21" s="2" t="s">
        <v>15</v>
      </c>
      <c r="C21" s="2"/>
    </row>
    <row r="22" customFormat="false" ht="15" hidden="false" customHeight="false" outlineLevel="0" collapsed="false">
      <c r="B22" s="3" t="s">
        <v>16</v>
      </c>
      <c r="C22" s="4" t="n">
        <f aca="false">SUM('سجل المبيعات'!I3:I202)</f>
        <v>0</v>
      </c>
    </row>
    <row r="23" customFormat="false" ht="15" hidden="false" customHeight="false" outlineLevel="0" collapsed="false">
      <c r="B23" s="3" t="s">
        <v>17</v>
      </c>
      <c r="C23" s="5" t="n">
        <f aca="false">'رأس المال'!C3-SUM('سجل المبيعات'!I3:I202)</f>
        <v>0</v>
      </c>
    </row>
    <row r="24" customFormat="false" ht="15" hidden="false" customHeight="false" outlineLevel="0" collapsed="false">
      <c r="B24" s="3" t="s">
        <v>18</v>
      </c>
      <c r="C24" s="7" t="n">
        <f aca="false">IFERROR(SUM('سجل المبيعات'!I3:I202)/'رأس المال'!C3,0)</f>
        <v>0</v>
      </c>
    </row>
  </sheetData>
  <mergeCells count="6">
    <mergeCell ref="A1:D1"/>
    <mergeCell ref="B3:C3"/>
    <mergeCell ref="B7:C7"/>
    <mergeCell ref="B13:C13"/>
    <mergeCell ref="B16:C16"/>
    <mergeCell ref="B21:C2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6"/>
    <col collapsed="false" customWidth="true" hidden="false" outlineLevel="0" max="3" min="3" style="0" width="18"/>
    <col collapsed="false" customWidth="true" hidden="false" outlineLevel="0" max="4" min="4" style="0" width="34"/>
  </cols>
  <sheetData>
    <row r="1" customFormat="false" ht="30" hidden="false" customHeight="true" outlineLevel="0" collapsed="false">
      <c r="A1" s="1" t="s">
        <v>19</v>
      </c>
      <c r="B1" s="1"/>
      <c r="C1" s="1"/>
      <c r="D1" s="1"/>
    </row>
    <row r="2" customFormat="false" ht="30" hidden="false" customHeight="true" outlineLevel="0" collapsed="false">
      <c r="A2" s="8" t="s">
        <v>20</v>
      </c>
      <c r="B2" s="8" t="s">
        <v>21</v>
      </c>
      <c r="C2" s="8" t="s">
        <v>22</v>
      </c>
      <c r="D2" s="8" t="s">
        <v>23</v>
      </c>
    </row>
    <row r="3" customFormat="false" ht="22.35" hidden="false" customHeight="false" outlineLevel="0" collapsed="false">
      <c r="A3" s="3" t="s">
        <v>24</v>
      </c>
      <c r="B3" s="9"/>
      <c r="C3" s="10"/>
      <c r="D3" s="11" t="s">
        <v>25</v>
      </c>
    </row>
    <row r="4" customFormat="false" ht="15" hidden="false" customHeight="false" outlineLevel="0" collapsed="false">
      <c r="A4" s="3" t="s">
        <v>26</v>
      </c>
      <c r="B4" s="9"/>
      <c r="C4" s="10"/>
      <c r="D4" s="11" t="s">
        <v>27</v>
      </c>
    </row>
    <row r="5" customFormat="false" ht="15" hidden="false" customHeight="false" outlineLevel="0" collapsed="false">
      <c r="A5" s="3" t="s">
        <v>28</v>
      </c>
      <c r="B5" s="9"/>
      <c r="C5" s="10"/>
      <c r="D5" s="11" t="s">
        <v>29</v>
      </c>
    </row>
    <row r="6" customFormat="false" ht="15" hidden="false" customHeight="false" outlineLevel="0" collapsed="false">
      <c r="A6" s="12"/>
      <c r="B6" s="9"/>
      <c r="C6" s="10"/>
      <c r="D6" s="13"/>
    </row>
    <row r="7" customFormat="false" ht="15" hidden="false" customHeight="false" outlineLevel="0" collapsed="false">
      <c r="A7" s="12"/>
      <c r="B7" s="9"/>
      <c r="C7" s="10"/>
      <c r="D7" s="13"/>
    </row>
    <row r="8" customFormat="false" ht="15" hidden="false" customHeight="false" outlineLevel="0" collapsed="false">
      <c r="A8" s="12"/>
      <c r="B8" s="9"/>
      <c r="C8" s="10"/>
      <c r="D8" s="13"/>
    </row>
    <row r="9" customFormat="false" ht="15" hidden="false" customHeight="false" outlineLevel="0" collapsed="false">
      <c r="A9" s="12"/>
      <c r="B9" s="9"/>
      <c r="C9" s="10"/>
      <c r="D9" s="13"/>
    </row>
    <row r="10" customFormat="false" ht="15" hidden="false" customHeight="false" outlineLevel="0" collapsed="false">
      <c r="A10" s="12"/>
      <c r="B10" s="9"/>
      <c r="C10" s="10"/>
      <c r="D10" s="13"/>
    </row>
    <row r="11" customFormat="false" ht="15" hidden="false" customHeight="false" outlineLevel="0" collapsed="false">
      <c r="A11" s="12"/>
      <c r="B11" s="9"/>
      <c r="C11" s="10"/>
      <c r="D11" s="13"/>
    </row>
    <row r="12" customFormat="false" ht="15" hidden="false" customHeight="false" outlineLevel="0" collapsed="false">
      <c r="A12" s="12"/>
      <c r="B12" s="9"/>
      <c r="C12" s="10"/>
      <c r="D12" s="13"/>
    </row>
    <row r="13" customFormat="false" ht="15" hidden="false" customHeight="false" outlineLevel="0" collapsed="false">
      <c r="A13" s="12"/>
      <c r="B13" s="9"/>
      <c r="C13" s="10"/>
      <c r="D13" s="13"/>
    </row>
    <row r="14" customFormat="false" ht="15" hidden="false" customHeight="false" outlineLevel="0" collapsed="false">
      <c r="A14" s="12"/>
      <c r="B14" s="9"/>
      <c r="C14" s="10"/>
      <c r="D14" s="13"/>
    </row>
    <row r="15" customFormat="false" ht="15" hidden="false" customHeight="false" outlineLevel="0" collapsed="false">
      <c r="A15" s="12"/>
      <c r="B15" s="9"/>
      <c r="C15" s="10"/>
      <c r="D15" s="13"/>
    </row>
    <row r="16" customFormat="false" ht="15" hidden="false" customHeight="false" outlineLevel="0" collapsed="false">
      <c r="A16" s="12"/>
      <c r="B16" s="9"/>
      <c r="C16" s="10"/>
      <c r="D16" s="13"/>
    </row>
    <row r="17" customFormat="false" ht="15" hidden="false" customHeight="false" outlineLevel="0" collapsed="false">
      <c r="A17" s="12"/>
      <c r="B17" s="9"/>
      <c r="C17" s="10"/>
      <c r="D17" s="13"/>
    </row>
    <row r="18" customFormat="false" ht="15" hidden="false" customHeight="false" outlineLevel="0" collapsed="false">
      <c r="A18" s="12"/>
      <c r="B18" s="9"/>
      <c r="C18" s="10"/>
      <c r="D18" s="13"/>
    </row>
    <row r="19" customFormat="false" ht="15" hidden="false" customHeight="false" outlineLevel="0" collapsed="false">
      <c r="A19" s="12"/>
      <c r="B19" s="9"/>
      <c r="C19" s="10"/>
      <c r="D19" s="13"/>
    </row>
    <row r="20" customFormat="false" ht="15" hidden="false" customHeight="false" outlineLevel="0" collapsed="false">
      <c r="A20" s="12"/>
      <c r="B20" s="9"/>
      <c r="C20" s="10"/>
      <c r="D20" s="13"/>
    </row>
    <row r="21" customFormat="false" ht="15" hidden="false" customHeight="false" outlineLevel="0" collapsed="false">
      <c r="A21" s="12"/>
      <c r="B21" s="9"/>
      <c r="C21" s="10"/>
      <c r="D21" s="13"/>
    </row>
    <row r="22" customFormat="false" ht="15" hidden="false" customHeight="false" outlineLevel="0" collapsed="false">
      <c r="A22" s="12"/>
      <c r="B22" s="9"/>
      <c r="C22" s="10"/>
      <c r="D22" s="13"/>
    </row>
    <row r="23" customFormat="false" ht="15" hidden="false" customHeight="false" outlineLevel="0" collapsed="false">
      <c r="A23" s="12"/>
      <c r="B23" s="9"/>
      <c r="C23" s="10"/>
      <c r="D23" s="13"/>
    </row>
    <row r="24" customFormat="false" ht="15" hidden="false" customHeight="false" outlineLevel="0" collapsed="false">
      <c r="A24" s="12"/>
      <c r="B24" s="9"/>
      <c r="C24" s="10"/>
      <c r="D24" s="13"/>
    </row>
    <row r="25" customFormat="false" ht="15" hidden="false" customHeight="false" outlineLevel="0" collapsed="false">
      <c r="A25" s="12"/>
      <c r="B25" s="9"/>
      <c r="C25" s="10"/>
      <c r="D25" s="13"/>
    </row>
    <row r="26" customFormat="false" ht="15" hidden="false" customHeight="false" outlineLevel="0" collapsed="false">
      <c r="A26" s="12"/>
      <c r="B26" s="9"/>
      <c r="C26" s="10"/>
      <c r="D26" s="13"/>
    </row>
    <row r="27" customFormat="false" ht="15" hidden="false" customHeight="false" outlineLevel="0" collapsed="false">
      <c r="A27" s="12"/>
      <c r="B27" s="9"/>
      <c r="C27" s="10"/>
      <c r="D27" s="13"/>
    </row>
    <row r="28" customFormat="false" ht="15" hidden="false" customHeight="false" outlineLevel="0" collapsed="false">
      <c r="A28" s="12"/>
      <c r="B28" s="9"/>
      <c r="C28" s="10"/>
      <c r="D28" s="13"/>
    </row>
    <row r="29" customFormat="false" ht="15" hidden="false" customHeight="false" outlineLevel="0" collapsed="false">
      <c r="A29" s="12"/>
      <c r="B29" s="9"/>
      <c r="C29" s="10"/>
      <c r="D29" s="13"/>
    </row>
    <row r="30" customFormat="false" ht="15" hidden="false" customHeight="false" outlineLevel="0" collapsed="false">
      <c r="A30" s="12"/>
      <c r="B30" s="9"/>
      <c r="C30" s="10"/>
      <c r="D30" s="13"/>
    </row>
    <row r="31" customFormat="false" ht="15" hidden="false" customHeight="false" outlineLevel="0" collapsed="false">
      <c r="A31" s="12"/>
      <c r="B31" s="9"/>
      <c r="C31" s="10"/>
      <c r="D31" s="13"/>
    </row>
    <row r="32" customFormat="false" ht="15" hidden="false" customHeight="false" outlineLevel="0" collapsed="false">
      <c r="A32" s="12"/>
      <c r="B32" s="9"/>
      <c r="C32" s="10"/>
      <c r="D32" s="13"/>
    </row>
    <row r="33" customFormat="false" ht="15" hidden="false" customHeight="false" outlineLevel="0" collapsed="false">
      <c r="A33" s="12"/>
      <c r="B33" s="9"/>
      <c r="C33" s="10"/>
      <c r="D33" s="13"/>
    </row>
    <row r="34" customFormat="false" ht="15" hidden="false" customHeight="false" outlineLevel="0" collapsed="false">
      <c r="A34" s="12"/>
      <c r="B34" s="9"/>
      <c r="C34" s="10"/>
      <c r="D34" s="13"/>
    </row>
    <row r="35" customFormat="false" ht="15" hidden="false" customHeight="false" outlineLevel="0" collapsed="false">
      <c r="A35" s="12"/>
      <c r="B35" s="9"/>
      <c r="C35" s="10"/>
      <c r="D35" s="13"/>
    </row>
    <row r="36" customFormat="false" ht="15" hidden="false" customHeight="false" outlineLevel="0" collapsed="false">
      <c r="A36" s="12"/>
      <c r="B36" s="9"/>
      <c r="C36" s="10"/>
      <c r="D36" s="13"/>
    </row>
    <row r="37" customFormat="false" ht="15" hidden="false" customHeight="false" outlineLevel="0" collapsed="false">
      <c r="A37" s="12"/>
      <c r="B37" s="9"/>
      <c r="C37" s="10"/>
      <c r="D37" s="13"/>
    </row>
    <row r="38" customFormat="false" ht="15" hidden="false" customHeight="false" outlineLevel="0" collapsed="false">
      <c r="A38" s="12"/>
      <c r="B38" s="9"/>
      <c r="C38" s="10"/>
      <c r="D38" s="13"/>
    </row>
    <row r="39" customFormat="false" ht="15" hidden="false" customHeight="false" outlineLevel="0" collapsed="false">
      <c r="A39" s="12"/>
      <c r="B39" s="9"/>
      <c r="C39" s="10"/>
      <c r="D39" s="13"/>
    </row>
    <row r="40" customFormat="false" ht="15" hidden="false" customHeight="false" outlineLevel="0" collapsed="false">
      <c r="A40" s="12"/>
      <c r="B40" s="9"/>
      <c r="C40" s="10"/>
      <c r="D40" s="13"/>
    </row>
    <row r="41" customFormat="false" ht="15" hidden="false" customHeight="false" outlineLevel="0" collapsed="false">
      <c r="A41" s="12"/>
      <c r="B41" s="9"/>
      <c r="C41" s="10"/>
      <c r="D41" s="13"/>
    </row>
    <row r="42" customFormat="false" ht="15" hidden="false" customHeight="false" outlineLevel="0" collapsed="false">
      <c r="A42" s="12"/>
      <c r="B42" s="9"/>
      <c r="C42" s="10"/>
      <c r="D42" s="13"/>
    </row>
    <row r="43" customFormat="false" ht="15" hidden="false" customHeight="false" outlineLevel="0" collapsed="false">
      <c r="A43" s="12"/>
      <c r="B43" s="9"/>
      <c r="C43" s="10"/>
      <c r="D43" s="13"/>
    </row>
    <row r="44" customFormat="false" ht="15" hidden="false" customHeight="false" outlineLevel="0" collapsed="false">
      <c r="A44" s="12"/>
      <c r="B44" s="9"/>
      <c r="C44" s="10"/>
      <c r="D44" s="13"/>
    </row>
    <row r="45" customFormat="false" ht="15" hidden="false" customHeight="false" outlineLevel="0" collapsed="false">
      <c r="A45" s="12"/>
      <c r="B45" s="9"/>
      <c r="C45" s="10"/>
      <c r="D45" s="13"/>
    </row>
    <row r="46" customFormat="false" ht="15" hidden="false" customHeight="false" outlineLevel="0" collapsed="false">
      <c r="A46" s="12"/>
      <c r="B46" s="9"/>
      <c r="C46" s="10"/>
      <c r="D46" s="13"/>
    </row>
    <row r="47" customFormat="false" ht="15" hidden="false" customHeight="false" outlineLevel="0" collapsed="false">
      <c r="A47" s="12"/>
      <c r="B47" s="9"/>
      <c r="C47" s="10"/>
      <c r="D47" s="13"/>
    </row>
    <row r="48" customFormat="false" ht="15" hidden="false" customHeight="false" outlineLevel="0" collapsed="false">
      <c r="A48" s="12"/>
      <c r="B48" s="9"/>
      <c r="C48" s="10"/>
      <c r="D48" s="13"/>
    </row>
    <row r="49" customFormat="false" ht="15" hidden="false" customHeight="false" outlineLevel="0" collapsed="false">
      <c r="A49" s="12"/>
      <c r="B49" s="9"/>
      <c r="C49" s="10"/>
      <c r="D49" s="13"/>
    </row>
    <row r="50" customFormat="false" ht="15" hidden="false" customHeight="false" outlineLevel="0" collapsed="false">
      <c r="A50" s="12"/>
      <c r="B50" s="9"/>
      <c r="C50" s="10"/>
      <c r="D50" s="13"/>
    </row>
    <row r="51" customFormat="false" ht="15" hidden="false" customHeight="false" outlineLevel="0" collapsed="false">
      <c r="A51" s="12"/>
      <c r="B51" s="9"/>
      <c r="C51" s="10"/>
      <c r="D51" s="13"/>
    </row>
    <row r="52" customFormat="false" ht="15" hidden="false" customHeight="false" outlineLevel="0" collapsed="false">
      <c r="A52" s="12"/>
      <c r="B52" s="9"/>
      <c r="C52" s="10"/>
      <c r="D52" s="13"/>
    </row>
    <row r="53" customFormat="false" ht="15" hidden="false" customHeight="false" outlineLevel="0" collapsed="false">
      <c r="A53" s="12"/>
      <c r="B53" s="9"/>
      <c r="C53" s="10"/>
      <c r="D53" s="13"/>
    </row>
    <row r="54" customFormat="false" ht="15" hidden="false" customHeight="false" outlineLevel="0" collapsed="false">
      <c r="A54" s="12"/>
      <c r="B54" s="9"/>
      <c r="C54" s="10"/>
      <c r="D54" s="13"/>
    </row>
    <row r="55" customFormat="false" ht="15" hidden="false" customHeight="false" outlineLevel="0" collapsed="false">
      <c r="A55" s="12"/>
      <c r="B55" s="9"/>
      <c r="C55" s="10"/>
      <c r="D55" s="13"/>
    </row>
    <row r="56" customFormat="false" ht="15" hidden="false" customHeight="false" outlineLevel="0" collapsed="false">
      <c r="A56" s="12"/>
      <c r="B56" s="9"/>
      <c r="C56" s="10"/>
      <c r="D56" s="13"/>
    </row>
    <row r="57" customFormat="false" ht="15" hidden="false" customHeight="false" outlineLevel="0" collapsed="false">
      <c r="A57" s="12"/>
      <c r="B57" s="9"/>
      <c r="C57" s="10"/>
      <c r="D57" s="13"/>
    </row>
    <row r="58" customFormat="false" ht="15" hidden="false" customHeight="false" outlineLevel="0" collapsed="false">
      <c r="A58" s="12"/>
      <c r="B58" s="9"/>
      <c r="C58" s="10"/>
      <c r="D58" s="13"/>
    </row>
    <row r="59" customFormat="false" ht="15" hidden="false" customHeight="false" outlineLevel="0" collapsed="false">
      <c r="A59" s="12"/>
      <c r="B59" s="9"/>
      <c r="C59" s="10"/>
      <c r="D59" s="13"/>
    </row>
    <row r="60" customFormat="false" ht="15" hidden="false" customHeight="false" outlineLevel="0" collapsed="false">
      <c r="A60" s="12"/>
      <c r="B60" s="9"/>
      <c r="C60" s="10"/>
      <c r="D60" s="13"/>
    </row>
    <row r="61" customFormat="false" ht="15" hidden="false" customHeight="false" outlineLevel="0" collapsed="false">
      <c r="A61" s="12"/>
      <c r="B61" s="9"/>
      <c r="C61" s="10"/>
      <c r="D61" s="13"/>
    </row>
    <row r="62" customFormat="false" ht="15" hidden="false" customHeight="false" outlineLevel="0" collapsed="false">
      <c r="A62" s="12"/>
      <c r="B62" s="9"/>
      <c r="C62" s="10"/>
      <c r="D62" s="13"/>
    </row>
    <row r="63" customFormat="false" ht="15" hidden="false" customHeight="false" outlineLevel="0" collapsed="false">
      <c r="A63" s="12"/>
      <c r="B63" s="9"/>
      <c r="C63" s="10"/>
      <c r="D63" s="13"/>
    </row>
    <row r="64" customFormat="false" ht="15" hidden="false" customHeight="false" outlineLevel="0" collapsed="false">
      <c r="A64" s="12"/>
      <c r="B64" s="9"/>
      <c r="C64" s="10"/>
      <c r="D64" s="13"/>
    </row>
    <row r="65" customFormat="false" ht="15" hidden="false" customHeight="false" outlineLevel="0" collapsed="false">
      <c r="A65" s="12"/>
      <c r="B65" s="9"/>
      <c r="C65" s="10"/>
      <c r="D65" s="13"/>
    </row>
    <row r="66" customFormat="false" ht="15" hidden="false" customHeight="false" outlineLevel="0" collapsed="false">
      <c r="A66" s="12"/>
      <c r="B66" s="9"/>
      <c r="C66" s="10"/>
      <c r="D66" s="13"/>
    </row>
    <row r="67" customFormat="false" ht="15" hidden="false" customHeight="false" outlineLevel="0" collapsed="false">
      <c r="A67" s="12"/>
      <c r="B67" s="9"/>
      <c r="C67" s="10"/>
      <c r="D67" s="13"/>
    </row>
    <row r="68" customFormat="false" ht="15" hidden="false" customHeight="false" outlineLevel="0" collapsed="false">
      <c r="A68" s="12"/>
      <c r="B68" s="9"/>
      <c r="C68" s="10"/>
      <c r="D68" s="13"/>
    </row>
    <row r="69" customFormat="false" ht="15" hidden="false" customHeight="false" outlineLevel="0" collapsed="false">
      <c r="A69" s="12"/>
      <c r="B69" s="9"/>
      <c r="C69" s="10"/>
      <c r="D69" s="13"/>
    </row>
    <row r="70" customFormat="false" ht="15" hidden="false" customHeight="false" outlineLevel="0" collapsed="false">
      <c r="A70" s="12"/>
      <c r="B70" s="9"/>
      <c r="C70" s="10"/>
      <c r="D70" s="13"/>
    </row>
    <row r="71" customFormat="false" ht="15" hidden="false" customHeight="false" outlineLevel="0" collapsed="false">
      <c r="A71" s="12"/>
      <c r="B71" s="9"/>
      <c r="C71" s="10"/>
      <c r="D71" s="13"/>
    </row>
    <row r="72" customFormat="false" ht="15" hidden="false" customHeight="false" outlineLevel="0" collapsed="false">
      <c r="A72" s="12"/>
      <c r="B72" s="9"/>
      <c r="C72" s="10"/>
      <c r="D72" s="13"/>
    </row>
    <row r="73" customFormat="false" ht="15" hidden="false" customHeight="false" outlineLevel="0" collapsed="false">
      <c r="A73" s="12"/>
      <c r="B73" s="9"/>
      <c r="C73" s="10"/>
      <c r="D73" s="13"/>
    </row>
    <row r="74" customFormat="false" ht="15" hidden="false" customHeight="false" outlineLevel="0" collapsed="false">
      <c r="A74" s="12"/>
      <c r="B74" s="9"/>
      <c r="C74" s="10"/>
      <c r="D74" s="13"/>
    </row>
    <row r="75" customFormat="false" ht="15" hidden="false" customHeight="false" outlineLevel="0" collapsed="false">
      <c r="A75" s="12"/>
      <c r="B75" s="9"/>
      <c r="C75" s="10"/>
      <c r="D75" s="13"/>
    </row>
    <row r="76" customFormat="false" ht="15" hidden="false" customHeight="false" outlineLevel="0" collapsed="false">
      <c r="A76" s="12"/>
      <c r="B76" s="9"/>
      <c r="C76" s="10"/>
      <c r="D76" s="13"/>
    </row>
    <row r="77" customFormat="false" ht="15" hidden="false" customHeight="false" outlineLevel="0" collapsed="false">
      <c r="A77" s="12"/>
      <c r="B77" s="9"/>
      <c r="C77" s="10"/>
      <c r="D77" s="13"/>
    </row>
    <row r="78" customFormat="false" ht="15" hidden="false" customHeight="false" outlineLevel="0" collapsed="false">
      <c r="A78" s="12"/>
      <c r="B78" s="9"/>
      <c r="C78" s="10"/>
      <c r="D78" s="13"/>
    </row>
    <row r="79" customFormat="false" ht="15" hidden="false" customHeight="false" outlineLevel="0" collapsed="false">
      <c r="A79" s="12"/>
      <c r="B79" s="9"/>
      <c r="C79" s="10"/>
      <c r="D79" s="13"/>
    </row>
    <row r="80" customFormat="false" ht="15" hidden="false" customHeight="false" outlineLevel="0" collapsed="false">
      <c r="A80" s="12"/>
      <c r="B80" s="9"/>
      <c r="C80" s="10"/>
      <c r="D80" s="13"/>
    </row>
    <row r="81" customFormat="false" ht="15" hidden="false" customHeight="false" outlineLevel="0" collapsed="false">
      <c r="A81" s="12"/>
      <c r="B81" s="9"/>
      <c r="C81" s="10"/>
      <c r="D81" s="13"/>
    </row>
    <row r="82" customFormat="false" ht="15" hidden="false" customHeight="false" outlineLevel="0" collapsed="false">
      <c r="A82" s="12"/>
      <c r="B82" s="9"/>
      <c r="C82" s="10"/>
      <c r="D82" s="13"/>
    </row>
    <row r="83" customFormat="false" ht="15" hidden="false" customHeight="false" outlineLevel="0" collapsed="false">
      <c r="A83" s="12"/>
      <c r="B83" s="9"/>
      <c r="C83" s="10"/>
      <c r="D83" s="13"/>
    </row>
    <row r="84" customFormat="false" ht="15" hidden="false" customHeight="false" outlineLevel="0" collapsed="false">
      <c r="A84" s="12"/>
      <c r="B84" s="9"/>
      <c r="C84" s="10"/>
      <c r="D84" s="13"/>
    </row>
    <row r="85" customFormat="false" ht="15" hidden="false" customHeight="false" outlineLevel="0" collapsed="false">
      <c r="A85" s="12"/>
      <c r="B85" s="9"/>
      <c r="C85" s="10"/>
      <c r="D85" s="13"/>
    </row>
    <row r="86" customFormat="false" ht="15" hidden="false" customHeight="false" outlineLevel="0" collapsed="false">
      <c r="A86" s="12"/>
      <c r="B86" s="9"/>
      <c r="C86" s="10"/>
      <c r="D86" s="13"/>
    </row>
    <row r="87" customFormat="false" ht="15" hidden="false" customHeight="false" outlineLevel="0" collapsed="false">
      <c r="A87" s="12"/>
      <c r="B87" s="9"/>
      <c r="C87" s="10"/>
      <c r="D87" s="13"/>
    </row>
    <row r="88" customFormat="false" ht="15" hidden="false" customHeight="false" outlineLevel="0" collapsed="false">
      <c r="A88" s="12"/>
      <c r="B88" s="9"/>
      <c r="C88" s="10"/>
      <c r="D88" s="13"/>
    </row>
    <row r="89" customFormat="false" ht="15" hidden="false" customHeight="false" outlineLevel="0" collapsed="false">
      <c r="A89" s="12"/>
      <c r="B89" s="9"/>
      <c r="C89" s="10"/>
      <c r="D89" s="13"/>
    </row>
    <row r="90" customFormat="false" ht="15" hidden="false" customHeight="false" outlineLevel="0" collapsed="false">
      <c r="A90" s="12"/>
      <c r="B90" s="9"/>
      <c r="C90" s="10"/>
      <c r="D90" s="13"/>
    </row>
    <row r="91" customFormat="false" ht="15" hidden="false" customHeight="false" outlineLevel="0" collapsed="false">
      <c r="A91" s="12"/>
      <c r="B91" s="9"/>
      <c r="C91" s="10"/>
      <c r="D91" s="13"/>
    </row>
    <row r="92" customFormat="false" ht="15" hidden="false" customHeight="false" outlineLevel="0" collapsed="false">
      <c r="A92" s="12"/>
      <c r="B92" s="9"/>
      <c r="C92" s="10"/>
      <c r="D92" s="13"/>
    </row>
    <row r="93" customFormat="false" ht="15" hidden="false" customHeight="false" outlineLevel="0" collapsed="false">
      <c r="A93" s="12"/>
      <c r="B93" s="9"/>
      <c r="C93" s="10"/>
      <c r="D93" s="13"/>
    </row>
    <row r="94" customFormat="false" ht="15" hidden="false" customHeight="false" outlineLevel="0" collapsed="false">
      <c r="A94" s="12"/>
      <c r="B94" s="9"/>
      <c r="C94" s="10"/>
      <c r="D94" s="13"/>
    </row>
    <row r="95" customFormat="false" ht="15" hidden="false" customHeight="false" outlineLevel="0" collapsed="false">
      <c r="A95" s="12"/>
      <c r="B95" s="9"/>
      <c r="C95" s="10"/>
      <c r="D95" s="13"/>
    </row>
    <row r="96" customFormat="false" ht="15" hidden="false" customHeight="false" outlineLevel="0" collapsed="false">
      <c r="A96" s="12"/>
      <c r="B96" s="9"/>
      <c r="C96" s="10"/>
      <c r="D96" s="13"/>
    </row>
    <row r="97" customFormat="false" ht="15" hidden="false" customHeight="false" outlineLevel="0" collapsed="false">
      <c r="A97" s="12"/>
      <c r="B97" s="9"/>
      <c r="C97" s="10"/>
      <c r="D97" s="13"/>
    </row>
    <row r="98" customFormat="false" ht="15" hidden="false" customHeight="false" outlineLevel="0" collapsed="false">
      <c r="A98" s="12"/>
      <c r="B98" s="9"/>
      <c r="C98" s="10"/>
      <c r="D98" s="13"/>
    </row>
    <row r="99" customFormat="false" ht="15" hidden="false" customHeight="false" outlineLevel="0" collapsed="false">
      <c r="A99" s="12"/>
      <c r="B99" s="9"/>
      <c r="C99" s="10"/>
      <c r="D99" s="13"/>
    </row>
    <row r="100" customFormat="false" ht="15" hidden="false" customHeight="false" outlineLevel="0" collapsed="false">
      <c r="A100" s="12"/>
      <c r="B100" s="9"/>
      <c r="C100" s="10"/>
      <c r="D100" s="13"/>
    </row>
    <row r="102" customFormat="false" ht="15" hidden="false" customHeight="false" outlineLevel="0" collapsed="false">
      <c r="A102" s="14" t="s">
        <v>30</v>
      </c>
      <c r="C102" s="15" t="n">
        <f aca="false">SUM(C3:C100)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10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0"/>
    <col collapsed="false" customWidth="true" hidden="false" outlineLevel="0" max="3" min="3" style="0" width="18"/>
    <col collapsed="false" customWidth="true" hidden="false" outlineLevel="0" max="4" min="4" style="0" width="38"/>
  </cols>
  <sheetData>
    <row r="1" customFormat="false" ht="30" hidden="false" customHeight="true" outlineLevel="0" collapsed="false">
      <c r="A1" s="1" t="s">
        <v>31</v>
      </c>
      <c r="B1" s="1"/>
      <c r="C1" s="1"/>
      <c r="D1" s="1"/>
    </row>
    <row r="2" customFormat="false" ht="30" hidden="false" customHeight="true" outlineLevel="0" collapsed="false">
      <c r="A2" s="8" t="s">
        <v>21</v>
      </c>
      <c r="B2" s="8" t="s">
        <v>32</v>
      </c>
      <c r="C2" s="8" t="s">
        <v>33</v>
      </c>
      <c r="D2" s="8" t="s">
        <v>34</v>
      </c>
    </row>
    <row r="3" customFormat="false" ht="15" hidden="false" customHeight="false" outlineLevel="0" collapsed="false">
      <c r="A3" s="9"/>
      <c r="B3" s="16"/>
      <c r="C3" s="10"/>
      <c r="D3" s="12"/>
    </row>
    <row r="4" customFormat="false" ht="15" hidden="false" customHeight="false" outlineLevel="0" collapsed="false">
      <c r="A4" s="9"/>
      <c r="B4" s="16"/>
      <c r="C4" s="10"/>
      <c r="D4" s="12"/>
    </row>
    <row r="5" customFormat="false" ht="15" hidden="false" customHeight="false" outlineLevel="0" collapsed="false">
      <c r="A5" s="9"/>
      <c r="B5" s="16"/>
      <c r="C5" s="10"/>
      <c r="D5" s="12"/>
    </row>
    <row r="6" customFormat="false" ht="15" hidden="false" customHeight="false" outlineLevel="0" collapsed="false">
      <c r="A6" s="9"/>
      <c r="B6" s="16"/>
      <c r="C6" s="10"/>
      <c r="D6" s="12"/>
    </row>
    <row r="7" customFormat="false" ht="15" hidden="false" customHeight="false" outlineLevel="0" collapsed="false">
      <c r="A7" s="9"/>
      <c r="B7" s="16"/>
      <c r="C7" s="10"/>
      <c r="D7" s="12"/>
    </row>
    <row r="8" customFormat="false" ht="15" hidden="false" customHeight="false" outlineLevel="0" collapsed="false">
      <c r="A8" s="9"/>
      <c r="B8" s="16"/>
      <c r="C8" s="10"/>
      <c r="D8" s="12"/>
    </row>
    <row r="9" customFormat="false" ht="15" hidden="false" customHeight="false" outlineLevel="0" collapsed="false">
      <c r="A9" s="9"/>
      <c r="B9" s="16"/>
      <c r="C9" s="10"/>
      <c r="D9" s="12"/>
    </row>
    <row r="10" customFormat="false" ht="15" hidden="false" customHeight="false" outlineLevel="0" collapsed="false">
      <c r="A10" s="9"/>
      <c r="B10" s="16"/>
      <c r="C10" s="10"/>
      <c r="D10" s="12"/>
    </row>
    <row r="11" customFormat="false" ht="15" hidden="false" customHeight="false" outlineLevel="0" collapsed="false">
      <c r="A11" s="9"/>
      <c r="B11" s="16"/>
      <c r="C11" s="10"/>
      <c r="D11" s="12"/>
    </row>
    <row r="12" customFormat="false" ht="15" hidden="false" customHeight="false" outlineLevel="0" collapsed="false">
      <c r="A12" s="9"/>
      <c r="B12" s="16"/>
      <c r="C12" s="10"/>
      <c r="D12" s="12"/>
    </row>
    <row r="13" customFormat="false" ht="15" hidden="false" customHeight="false" outlineLevel="0" collapsed="false">
      <c r="A13" s="9"/>
      <c r="B13" s="16"/>
      <c r="C13" s="10"/>
      <c r="D13" s="12"/>
    </row>
    <row r="14" customFormat="false" ht="15" hidden="false" customHeight="false" outlineLevel="0" collapsed="false">
      <c r="A14" s="9"/>
      <c r="B14" s="16"/>
      <c r="C14" s="10"/>
      <c r="D14" s="12"/>
    </row>
    <row r="15" customFormat="false" ht="15" hidden="false" customHeight="false" outlineLevel="0" collapsed="false">
      <c r="A15" s="9"/>
      <c r="B15" s="16"/>
      <c r="C15" s="10"/>
      <c r="D15" s="12"/>
    </row>
    <row r="16" customFormat="false" ht="15" hidden="false" customHeight="false" outlineLevel="0" collapsed="false">
      <c r="A16" s="9"/>
      <c r="B16" s="16"/>
      <c r="C16" s="10"/>
      <c r="D16" s="12"/>
    </row>
    <row r="17" customFormat="false" ht="15" hidden="false" customHeight="false" outlineLevel="0" collapsed="false">
      <c r="A17" s="9"/>
      <c r="B17" s="16"/>
      <c r="C17" s="10"/>
      <c r="D17" s="12"/>
    </row>
    <row r="18" customFormat="false" ht="15" hidden="false" customHeight="false" outlineLevel="0" collapsed="false">
      <c r="A18" s="9"/>
      <c r="B18" s="16"/>
      <c r="C18" s="10"/>
      <c r="D18" s="12"/>
    </row>
    <row r="19" customFormat="false" ht="15" hidden="false" customHeight="false" outlineLevel="0" collapsed="false">
      <c r="A19" s="9"/>
      <c r="B19" s="16"/>
      <c r="C19" s="10"/>
      <c r="D19" s="12"/>
    </row>
    <row r="20" customFormat="false" ht="15" hidden="false" customHeight="false" outlineLevel="0" collapsed="false">
      <c r="A20" s="9"/>
      <c r="B20" s="16"/>
      <c r="C20" s="10"/>
      <c r="D20" s="12"/>
    </row>
    <row r="21" customFormat="false" ht="15" hidden="false" customHeight="false" outlineLevel="0" collapsed="false">
      <c r="A21" s="9"/>
      <c r="B21" s="16"/>
      <c r="C21" s="10"/>
      <c r="D21" s="12"/>
    </row>
    <row r="22" customFormat="false" ht="15" hidden="false" customHeight="false" outlineLevel="0" collapsed="false">
      <c r="A22" s="9"/>
      <c r="B22" s="16"/>
      <c r="C22" s="10"/>
      <c r="D22" s="12"/>
    </row>
    <row r="23" customFormat="false" ht="15" hidden="false" customHeight="false" outlineLevel="0" collapsed="false">
      <c r="A23" s="9"/>
      <c r="B23" s="16"/>
      <c r="C23" s="10"/>
      <c r="D23" s="12"/>
    </row>
    <row r="24" customFormat="false" ht="15" hidden="false" customHeight="false" outlineLevel="0" collapsed="false">
      <c r="A24" s="9"/>
      <c r="B24" s="16"/>
      <c r="C24" s="10"/>
      <c r="D24" s="12"/>
    </row>
    <row r="25" customFormat="false" ht="15" hidden="false" customHeight="false" outlineLevel="0" collapsed="false">
      <c r="A25" s="9"/>
      <c r="B25" s="16"/>
      <c r="C25" s="10"/>
      <c r="D25" s="12"/>
    </row>
    <row r="26" customFormat="false" ht="15" hidden="false" customHeight="false" outlineLevel="0" collapsed="false">
      <c r="A26" s="9"/>
      <c r="B26" s="16"/>
      <c r="C26" s="10"/>
      <c r="D26" s="12"/>
    </row>
    <row r="27" customFormat="false" ht="15" hidden="false" customHeight="false" outlineLevel="0" collapsed="false">
      <c r="A27" s="9"/>
      <c r="B27" s="16"/>
      <c r="C27" s="10"/>
      <c r="D27" s="12"/>
    </row>
    <row r="28" customFormat="false" ht="15" hidden="false" customHeight="false" outlineLevel="0" collapsed="false">
      <c r="A28" s="9"/>
      <c r="B28" s="16"/>
      <c r="C28" s="10"/>
      <c r="D28" s="12"/>
    </row>
    <row r="29" customFormat="false" ht="15" hidden="false" customHeight="false" outlineLevel="0" collapsed="false">
      <c r="A29" s="9"/>
      <c r="B29" s="16"/>
      <c r="C29" s="10"/>
      <c r="D29" s="12"/>
    </row>
    <row r="30" customFormat="false" ht="15" hidden="false" customHeight="false" outlineLevel="0" collapsed="false">
      <c r="A30" s="9"/>
      <c r="B30" s="16"/>
      <c r="C30" s="10"/>
      <c r="D30" s="12"/>
    </row>
    <row r="31" customFormat="false" ht="15" hidden="false" customHeight="false" outlineLevel="0" collapsed="false">
      <c r="A31" s="9"/>
      <c r="B31" s="16"/>
      <c r="C31" s="10"/>
      <c r="D31" s="12"/>
    </row>
    <row r="32" customFormat="false" ht="15" hidden="false" customHeight="false" outlineLevel="0" collapsed="false">
      <c r="A32" s="9"/>
      <c r="B32" s="16"/>
      <c r="C32" s="10"/>
      <c r="D32" s="12"/>
    </row>
    <row r="33" customFormat="false" ht="15" hidden="false" customHeight="false" outlineLevel="0" collapsed="false">
      <c r="A33" s="9"/>
      <c r="B33" s="16"/>
      <c r="C33" s="10"/>
      <c r="D33" s="12"/>
    </row>
    <row r="34" customFormat="false" ht="15" hidden="false" customHeight="false" outlineLevel="0" collapsed="false">
      <c r="A34" s="9"/>
      <c r="B34" s="16"/>
      <c r="C34" s="10"/>
      <c r="D34" s="12"/>
    </row>
    <row r="35" customFormat="false" ht="15" hidden="false" customHeight="false" outlineLevel="0" collapsed="false">
      <c r="A35" s="9"/>
      <c r="B35" s="16"/>
      <c r="C35" s="10"/>
      <c r="D35" s="12"/>
    </row>
    <row r="36" customFormat="false" ht="15" hidden="false" customHeight="false" outlineLevel="0" collapsed="false">
      <c r="A36" s="9"/>
      <c r="B36" s="16"/>
      <c r="C36" s="10"/>
      <c r="D36" s="12"/>
    </row>
    <row r="37" customFormat="false" ht="15" hidden="false" customHeight="false" outlineLevel="0" collapsed="false">
      <c r="A37" s="9"/>
      <c r="B37" s="16"/>
      <c r="C37" s="10"/>
      <c r="D37" s="12"/>
    </row>
    <row r="38" customFormat="false" ht="15" hidden="false" customHeight="false" outlineLevel="0" collapsed="false">
      <c r="A38" s="9"/>
      <c r="B38" s="16"/>
      <c r="C38" s="10"/>
      <c r="D38" s="12"/>
    </row>
    <row r="39" customFormat="false" ht="15" hidden="false" customHeight="false" outlineLevel="0" collapsed="false">
      <c r="A39" s="9"/>
      <c r="B39" s="16"/>
      <c r="C39" s="10"/>
      <c r="D39" s="12"/>
    </row>
    <row r="40" customFormat="false" ht="15" hidden="false" customHeight="false" outlineLevel="0" collapsed="false">
      <c r="A40" s="9"/>
      <c r="B40" s="16"/>
      <c r="C40" s="10"/>
      <c r="D40" s="12"/>
    </row>
    <row r="41" customFormat="false" ht="15" hidden="false" customHeight="false" outlineLevel="0" collapsed="false">
      <c r="A41" s="9"/>
      <c r="B41" s="16"/>
      <c r="C41" s="10"/>
      <c r="D41" s="12"/>
    </row>
    <row r="42" customFormat="false" ht="15" hidden="false" customHeight="false" outlineLevel="0" collapsed="false">
      <c r="A42" s="9"/>
      <c r="B42" s="16"/>
      <c r="C42" s="10"/>
      <c r="D42" s="12"/>
    </row>
    <row r="43" customFormat="false" ht="15" hidden="false" customHeight="false" outlineLevel="0" collapsed="false">
      <c r="A43" s="9"/>
      <c r="B43" s="16"/>
      <c r="C43" s="10"/>
      <c r="D43" s="12"/>
    </row>
    <row r="44" customFormat="false" ht="15" hidden="false" customHeight="false" outlineLevel="0" collapsed="false">
      <c r="A44" s="9"/>
      <c r="B44" s="16"/>
      <c r="C44" s="10"/>
      <c r="D44" s="12"/>
    </row>
    <row r="45" customFormat="false" ht="15" hidden="false" customHeight="false" outlineLevel="0" collapsed="false">
      <c r="A45" s="9"/>
      <c r="B45" s="16"/>
      <c r="C45" s="10"/>
      <c r="D45" s="12"/>
    </row>
    <row r="46" customFormat="false" ht="15" hidden="false" customHeight="false" outlineLevel="0" collapsed="false">
      <c r="A46" s="9"/>
      <c r="B46" s="16"/>
      <c r="C46" s="10"/>
      <c r="D46" s="12"/>
    </row>
    <row r="47" customFormat="false" ht="15" hidden="false" customHeight="false" outlineLevel="0" collapsed="false">
      <c r="A47" s="9"/>
      <c r="B47" s="16"/>
      <c r="C47" s="10"/>
      <c r="D47" s="12"/>
    </row>
    <row r="48" customFormat="false" ht="15" hidden="false" customHeight="false" outlineLevel="0" collapsed="false">
      <c r="A48" s="9"/>
      <c r="B48" s="16"/>
      <c r="C48" s="10"/>
      <c r="D48" s="12"/>
    </row>
    <row r="49" customFormat="false" ht="15" hidden="false" customHeight="false" outlineLevel="0" collapsed="false">
      <c r="A49" s="9"/>
      <c r="B49" s="16"/>
      <c r="C49" s="10"/>
      <c r="D49" s="12"/>
    </row>
    <row r="50" customFormat="false" ht="15" hidden="false" customHeight="false" outlineLevel="0" collapsed="false">
      <c r="A50" s="9"/>
      <c r="B50" s="16"/>
      <c r="C50" s="10"/>
      <c r="D50" s="12"/>
    </row>
    <row r="51" customFormat="false" ht="15" hidden="false" customHeight="false" outlineLevel="0" collapsed="false">
      <c r="A51" s="9"/>
      <c r="B51" s="16"/>
      <c r="C51" s="10"/>
      <c r="D51" s="12"/>
    </row>
    <row r="52" customFormat="false" ht="15" hidden="false" customHeight="false" outlineLevel="0" collapsed="false">
      <c r="A52" s="9"/>
      <c r="B52" s="16"/>
      <c r="C52" s="10"/>
      <c r="D52" s="12"/>
    </row>
    <row r="53" customFormat="false" ht="15" hidden="false" customHeight="false" outlineLevel="0" collapsed="false">
      <c r="A53" s="9"/>
      <c r="B53" s="16"/>
      <c r="C53" s="10"/>
      <c r="D53" s="12"/>
    </row>
    <row r="54" customFormat="false" ht="15" hidden="false" customHeight="false" outlineLevel="0" collapsed="false">
      <c r="A54" s="9"/>
      <c r="B54" s="16"/>
      <c r="C54" s="10"/>
      <c r="D54" s="12"/>
    </row>
    <row r="55" customFormat="false" ht="15" hidden="false" customHeight="false" outlineLevel="0" collapsed="false">
      <c r="A55" s="9"/>
      <c r="B55" s="16"/>
      <c r="C55" s="10"/>
      <c r="D55" s="12"/>
    </row>
    <row r="56" customFormat="false" ht="15" hidden="false" customHeight="false" outlineLevel="0" collapsed="false">
      <c r="A56" s="9"/>
      <c r="B56" s="16"/>
      <c r="C56" s="10"/>
      <c r="D56" s="12"/>
    </row>
    <row r="57" customFormat="false" ht="15" hidden="false" customHeight="false" outlineLevel="0" collapsed="false">
      <c r="A57" s="9"/>
      <c r="B57" s="16"/>
      <c r="C57" s="10"/>
      <c r="D57" s="12"/>
    </row>
    <row r="58" customFormat="false" ht="15" hidden="false" customHeight="false" outlineLevel="0" collapsed="false">
      <c r="A58" s="9"/>
      <c r="B58" s="16"/>
      <c r="C58" s="10"/>
      <c r="D58" s="12"/>
    </row>
    <row r="59" customFormat="false" ht="15" hidden="false" customHeight="false" outlineLevel="0" collapsed="false">
      <c r="A59" s="9"/>
      <c r="B59" s="16"/>
      <c r="C59" s="10"/>
      <c r="D59" s="12"/>
    </row>
    <row r="60" customFormat="false" ht="15" hidden="false" customHeight="false" outlineLevel="0" collapsed="false">
      <c r="A60" s="9"/>
      <c r="B60" s="16"/>
      <c r="C60" s="10"/>
      <c r="D60" s="12"/>
    </row>
    <row r="61" customFormat="false" ht="15" hidden="false" customHeight="false" outlineLevel="0" collapsed="false">
      <c r="A61" s="9"/>
      <c r="B61" s="16"/>
      <c r="C61" s="10"/>
      <c r="D61" s="12"/>
    </row>
    <row r="62" customFormat="false" ht="15" hidden="false" customHeight="false" outlineLevel="0" collapsed="false">
      <c r="A62" s="9"/>
      <c r="B62" s="16"/>
      <c r="C62" s="10"/>
      <c r="D62" s="12"/>
    </row>
    <row r="63" customFormat="false" ht="15" hidden="false" customHeight="false" outlineLevel="0" collapsed="false">
      <c r="A63" s="9"/>
      <c r="B63" s="16"/>
      <c r="C63" s="10"/>
      <c r="D63" s="12"/>
    </row>
    <row r="64" customFormat="false" ht="15" hidden="false" customHeight="false" outlineLevel="0" collapsed="false">
      <c r="A64" s="9"/>
      <c r="B64" s="16"/>
      <c r="C64" s="10"/>
      <c r="D64" s="12"/>
    </row>
    <row r="65" customFormat="false" ht="15" hidden="false" customHeight="false" outlineLevel="0" collapsed="false">
      <c r="A65" s="9"/>
      <c r="B65" s="16"/>
      <c r="C65" s="10"/>
      <c r="D65" s="12"/>
    </row>
    <row r="66" customFormat="false" ht="15" hidden="false" customHeight="false" outlineLevel="0" collapsed="false">
      <c r="A66" s="9"/>
      <c r="B66" s="16"/>
      <c r="C66" s="10"/>
      <c r="D66" s="12"/>
    </row>
    <row r="67" customFormat="false" ht="15" hidden="false" customHeight="false" outlineLevel="0" collapsed="false">
      <c r="A67" s="9"/>
      <c r="B67" s="16"/>
      <c r="C67" s="10"/>
      <c r="D67" s="12"/>
    </row>
    <row r="68" customFormat="false" ht="15" hidden="false" customHeight="false" outlineLevel="0" collapsed="false">
      <c r="A68" s="9"/>
      <c r="B68" s="16"/>
      <c r="C68" s="10"/>
      <c r="D68" s="12"/>
    </row>
    <row r="69" customFormat="false" ht="15" hidden="false" customHeight="false" outlineLevel="0" collapsed="false">
      <c r="A69" s="9"/>
      <c r="B69" s="16"/>
      <c r="C69" s="10"/>
      <c r="D69" s="12"/>
    </row>
    <row r="70" customFormat="false" ht="15" hidden="false" customHeight="false" outlineLevel="0" collapsed="false">
      <c r="A70" s="9"/>
      <c r="B70" s="16"/>
      <c r="C70" s="10"/>
      <c r="D70" s="12"/>
    </row>
    <row r="71" customFormat="false" ht="15" hidden="false" customHeight="false" outlineLevel="0" collapsed="false">
      <c r="A71" s="9"/>
      <c r="B71" s="16"/>
      <c r="C71" s="10"/>
      <c r="D71" s="12"/>
    </row>
    <row r="72" customFormat="false" ht="15" hidden="false" customHeight="false" outlineLevel="0" collapsed="false">
      <c r="A72" s="9"/>
      <c r="B72" s="16"/>
      <c r="C72" s="10"/>
      <c r="D72" s="12"/>
    </row>
    <row r="73" customFormat="false" ht="15" hidden="false" customHeight="false" outlineLevel="0" collapsed="false">
      <c r="A73" s="9"/>
      <c r="B73" s="16"/>
      <c r="C73" s="10"/>
      <c r="D73" s="12"/>
    </row>
    <row r="74" customFormat="false" ht="15" hidden="false" customHeight="false" outlineLevel="0" collapsed="false">
      <c r="A74" s="9"/>
      <c r="B74" s="16"/>
      <c r="C74" s="10"/>
      <c r="D74" s="12"/>
    </row>
    <row r="75" customFormat="false" ht="15" hidden="false" customHeight="false" outlineLevel="0" collapsed="false">
      <c r="A75" s="9"/>
      <c r="B75" s="16"/>
      <c r="C75" s="10"/>
      <c r="D75" s="12"/>
    </row>
    <row r="76" customFormat="false" ht="15" hidden="false" customHeight="false" outlineLevel="0" collapsed="false">
      <c r="A76" s="9"/>
      <c r="B76" s="16"/>
      <c r="C76" s="10"/>
      <c r="D76" s="12"/>
    </row>
    <row r="77" customFormat="false" ht="15" hidden="false" customHeight="false" outlineLevel="0" collapsed="false">
      <c r="A77" s="9"/>
      <c r="B77" s="16"/>
      <c r="C77" s="10"/>
      <c r="D77" s="12"/>
    </row>
    <row r="78" customFormat="false" ht="15" hidden="false" customHeight="false" outlineLevel="0" collapsed="false">
      <c r="A78" s="9"/>
      <c r="B78" s="16"/>
      <c r="C78" s="10"/>
      <c r="D78" s="12"/>
    </row>
    <row r="79" customFormat="false" ht="15" hidden="false" customHeight="false" outlineLevel="0" collapsed="false">
      <c r="A79" s="9"/>
      <c r="B79" s="16"/>
      <c r="C79" s="10"/>
      <c r="D79" s="12"/>
    </row>
    <row r="80" customFormat="false" ht="15" hidden="false" customHeight="false" outlineLevel="0" collapsed="false">
      <c r="A80" s="9"/>
      <c r="B80" s="16"/>
      <c r="C80" s="10"/>
      <c r="D80" s="12"/>
    </row>
    <row r="81" customFormat="false" ht="15" hidden="false" customHeight="false" outlineLevel="0" collapsed="false">
      <c r="A81" s="9"/>
      <c r="B81" s="16"/>
      <c r="C81" s="10"/>
      <c r="D81" s="12"/>
    </row>
    <row r="82" customFormat="false" ht="15" hidden="false" customHeight="false" outlineLevel="0" collapsed="false">
      <c r="A82" s="9"/>
      <c r="B82" s="16"/>
      <c r="C82" s="10"/>
      <c r="D82" s="12"/>
    </row>
    <row r="83" customFormat="false" ht="15" hidden="false" customHeight="false" outlineLevel="0" collapsed="false">
      <c r="A83" s="9"/>
      <c r="B83" s="16"/>
      <c r="C83" s="10"/>
      <c r="D83" s="12"/>
    </row>
    <row r="84" customFormat="false" ht="15" hidden="false" customHeight="false" outlineLevel="0" collapsed="false">
      <c r="A84" s="9"/>
      <c r="B84" s="16"/>
      <c r="C84" s="10"/>
      <c r="D84" s="12"/>
    </row>
    <row r="85" customFormat="false" ht="15" hidden="false" customHeight="false" outlineLevel="0" collapsed="false">
      <c r="A85" s="9"/>
      <c r="B85" s="16"/>
      <c r="C85" s="10"/>
      <c r="D85" s="12"/>
    </row>
    <row r="86" customFormat="false" ht="15" hidden="false" customHeight="false" outlineLevel="0" collapsed="false">
      <c r="A86" s="9"/>
      <c r="B86" s="16"/>
      <c r="C86" s="10"/>
      <c r="D86" s="12"/>
    </row>
    <row r="87" customFormat="false" ht="15" hidden="false" customHeight="false" outlineLevel="0" collapsed="false">
      <c r="A87" s="9"/>
      <c r="B87" s="16"/>
      <c r="C87" s="10"/>
      <c r="D87" s="12"/>
    </row>
    <row r="88" customFormat="false" ht="15" hidden="false" customHeight="false" outlineLevel="0" collapsed="false">
      <c r="A88" s="9"/>
      <c r="B88" s="16"/>
      <c r="C88" s="10"/>
      <c r="D88" s="12"/>
    </row>
    <row r="89" customFormat="false" ht="15" hidden="false" customHeight="false" outlineLevel="0" collapsed="false">
      <c r="A89" s="9"/>
      <c r="B89" s="16"/>
      <c r="C89" s="10"/>
      <c r="D89" s="12"/>
    </row>
    <row r="90" customFormat="false" ht="15" hidden="false" customHeight="false" outlineLevel="0" collapsed="false">
      <c r="A90" s="9"/>
      <c r="B90" s="16"/>
      <c r="C90" s="10"/>
      <c r="D90" s="12"/>
    </row>
    <row r="91" customFormat="false" ht="15" hidden="false" customHeight="false" outlineLevel="0" collapsed="false">
      <c r="A91" s="9"/>
      <c r="B91" s="16"/>
      <c r="C91" s="10"/>
      <c r="D91" s="12"/>
    </row>
    <row r="92" customFormat="false" ht="15" hidden="false" customHeight="false" outlineLevel="0" collapsed="false">
      <c r="A92" s="9"/>
      <c r="B92" s="16"/>
      <c r="C92" s="10"/>
      <c r="D92" s="12"/>
    </row>
    <row r="93" customFormat="false" ht="15" hidden="false" customHeight="false" outlineLevel="0" collapsed="false">
      <c r="A93" s="9"/>
      <c r="B93" s="16"/>
      <c r="C93" s="10"/>
      <c r="D93" s="12"/>
    </row>
    <row r="94" customFormat="false" ht="15" hidden="false" customHeight="false" outlineLevel="0" collapsed="false">
      <c r="A94" s="9"/>
      <c r="B94" s="16"/>
      <c r="C94" s="10"/>
      <c r="D94" s="12"/>
    </row>
    <row r="95" customFormat="false" ht="15" hidden="false" customHeight="false" outlineLevel="0" collapsed="false">
      <c r="A95" s="9"/>
      <c r="B95" s="16"/>
      <c r="C95" s="10"/>
      <c r="D95" s="12"/>
    </row>
    <row r="96" customFormat="false" ht="15" hidden="false" customHeight="false" outlineLevel="0" collapsed="false">
      <c r="A96" s="9"/>
      <c r="B96" s="16"/>
      <c r="C96" s="10"/>
      <c r="D96" s="12"/>
    </row>
    <row r="97" customFormat="false" ht="15" hidden="false" customHeight="false" outlineLevel="0" collapsed="false">
      <c r="A97" s="9"/>
      <c r="B97" s="16"/>
      <c r="C97" s="10"/>
      <c r="D97" s="12"/>
    </row>
    <row r="98" customFormat="false" ht="15" hidden="false" customHeight="false" outlineLevel="0" collapsed="false">
      <c r="A98" s="9"/>
      <c r="B98" s="16"/>
      <c r="C98" s="10"/>
      <c r="D98" s="12"/>
    </row>
    <row r="99" customFormat="false" ht="15" hidden="false" customHeight="false" outlineLevel="0" collapsed="false">
      <c r="A99" s="9"/>
      <c r="B99" s="16"/>
      <c r="C99" s="10"/>
      <c r="D99" s="12"/>
    </row>
    <row r="100" customFormat="false" ht="15" hidden="false" customHeight="false" outlineLevel="0" collapsed="false">
      <c r="A100" s="9"/>
      <c r="B100" s="16"/>
      <c r="C100" s="10"/>
      <c r="D100" s="12"/>
    </row>
    <row r="102" customFormat="false" ht="15" hidden="false" customHeight="false" outlineLevel="0" collapsed="false">
      <c r="A102" s="14" t="s">
        <v>30</v>
      </c>
      <c r="B102" s="17" t="n">
        <f aca="false">SUM(B3:B100)</f>
        <v>0</v>
      </c>
      <c r="C102" s="15" t="n">
        <f aca="false">SUM(C3:C100)</f>
        <v>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6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2" min="2" style="0" width="16"/>
    <col collapsed="false" customWidth="true" hidden="false" outlineLevel="0" max="3" min="3" style="0" width="14"/>
    <col collapsed="false" customWidth="true" hidden="false" outlineLevel="0" max="4" min="4" style="0" width="16"/>
    <col collapsed="false" customWidth="true" hidden="false" outlineLevel="0" max="6" min="5" style="0" width="18"/>
    <col collapsed="false" customWidth="true" hidden="false" outlineLevel="0" max="9" min="7" style="0" width="16"/>
    <col collapsed="false" customWidth="true" hidden="false" outlineLevel="0" max="10" min="10" style="0" width="12"/>
  </cols>
  <sheetData>
    <row r="1" customFormat="false" ht="30" hidden="false" customHeight="true" outlineLevel="0" collapsed="false">
      <c r="A1" s="1" t="s">
        <v>35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26.85" hidden="false" customHeight="false" outlineLevel="0" collapsed="false">
      <c r="A2" s="18" t="s">
        <v>36</v>
      </c>
      <c r="B2" s="19" t="n">
        <v>15</v>
      </c>
      <c r="D2" s="20" t="s">
        <v>37</v>
      </c>
    </row>
    <row r="3" customFormat="false" ht="15" hidden="false" customHeight="false" outlineLevel="0" collapsed="false">
      <c r="A3" s="18" t="s">
        <v>38</v>
      </c>
      <c r="B3" s="21" t="n">
        <f aca="false">B2/1000</f>
        <v>0.015</v>
      </c>
      <c r="D3" s="20" t="s">
        <v>39</v>
      </c>
    </row>
    <row r="4" customFormat="false" ht="26.85" hidden="false" customHeight="false" outlineLevel="0" collapsed="false">
      <c r="A4" s="18" t="s">
        <v>40</v>
      </c>
      <c r="B4" s="19" t="n">
        <v>0.3</v>
      </c>
    </row>
    <row r="6" customFormat="false" ht="30" hidden="false" customHeight="true" outlineLevel="0" collapsed="false">
      <c r="A6" s="8" t="s">
        <v>41</v>
      </c>
      <c r="B6" s="8" t="s">
        <v>42</v>
      </c>
      <c r="C6" s="8" t="s">
        <v>43</v>
      </c>
      <c r="D6" s="8" t="s">
        <v>44</v>
      </c>
      <c r="E6" s="8" t="s">
        <v>45</v>
      </c>
      <c r="F6" s="8" t="s">
        <v>46</v>
      </c>
      <c r="G6" s="8" t="s">
        <v>47</v>
      </c>
      <c r="H6" s="8" t="s">
        <v>48</v>
      </c>
      <c r="I6" s="8" t="s">
        <v>49</v>
      </c>
      <c r="J6" s="8" t="s">
        <v>50</v>
      </c>
    </row>
    <row r="7" customFormat="false" ht="15" hidden="false" customHeight="false" outlineLevel="0" collapsed="false">
      <c r="A7" s="3" t="s">
        <v>51</v>
      </c>
      <c r="B7" s="22" t="n">
        <v>25</v>
      </c>
      <c r="C7" s="23" t="n">
        <v>1.5</v>
      </c>
      <c r="D7" s="10" t="n">
        <v>0.2</v>
      </c>
      <c r="E7" s="5" t="n">
        <f aca="false">B7*$B$3</f>
        <v>0.375</v>
      </c>
      <c r="F7" s="5" t="n">
        <f aca="false">C7*$B$4</f>
        <v>0.45</v>
      </c>
      <c r="G7" s="5" t="n">
        <f aca="false">E7+F7+D7</f>
        <v>1.025</v>
      </c>
      <c r="H7" s="10" t="n">
        <v>2.5</v>
      </c>
      <c r="I7" s="5" t="n">
        <f aca="false">H7-G7</f>
        <v>1.475</v>
      </c>
      <c r="J7" s="24" t="n">
        <f aca="false">IFERROR(I7/H7,0)</f>
        <v>0.59</v>
      </c>
    </row>
    <row r="8" customFormat="false" ht="15" hidden="false" customHeight="false" outlineLevel="0" collapsed="false">
      <c r="A8" s="3" t="s">
        <v>52</v>
      </c>
      <c r="B8" s="22" t="n">
        <v>80</v>
      </c>
      <c r="C8" s="23" t="n">
        <v>4</v>
      </c>
      <c r="D8" s="10" t="n">
        <v>0.5</v>
      </c>
      <c r="E8" s="5" t="n">
        <f aca="false">B8*$B$3</f>
        <v>1.2</v>
      </c>
      <c r="F8" s="5" t="n">
        <f aca="false">C8*$B$4</f>
        <v>1.2</v>
      </c>
      <c r="G8" s="5" t="n">
        <f aca="false">E8+F8+D8</f>
        <v>2.9</v>
      </c>
      <c r="H8" s="10" t="n">
        <v>8</v>
      </c>
      <c r="I8" s="5" t="n">
        <f aca="false">H8-G8</f>
        <v>5.1</v>
      </c>
      <c r="J8" s="24" t="n">
        <f aca="false">IFERROR(I8/H8,0)</f>
        <v>0.6375</v>
      </c>
    </row>
    <row r="9" customFormat="false" ht="15" hidden="false" customHeight="false" outlineLevel="0" collapsed="false">
      <c r="A9" s="3" t="s">
        <v>53</v>
      </c>
      <c r="B9" s="22" t="n">
        <v>120</v>
      </c>
      <c r="C9" s="23" t="n">
        <v>5</v>
      </c>
      <c r="D9" s="10" t="n">
        <v>0.5</v>
      </c>
      <c r="E9" s="5" t="n">
        <f aca="false">B9*$B$3</f>
        <v>1.8</v>
      </c>
      <c r="F9" s="5" t="n">
        <f aca="false">C9*$B$4</f>
        <v>1.5</v>
      </c>
      <c r="G9" s="5" t="n">
        <f aca="false">E9+F9+D9</f>
        <v>3.8</v>
      </c>
      <c r="H9" s="10" t="n">
        <v>10</v>
      </c>
      <c r="I9" s="5" t="n">
        <f aca="false">H9-G9</f>
        <v>6.2</v>
      </c>
      <c r="J9" s="24" t="n">
        <f aca="false">IFERROR(I9/H9,0)</f>
        <v>0.62</v>
      </c>
    </row>
    <row r="10" customFormat="false" ht="15" hidden="false" customHeight="false" outlineLevel="0" collapsed="false">
      <c r="A10" s="12"/>
      <c r="B10" s="22"/>
      <c r="C10" s="23"/>
      <c r="D10" s="10"/>
      <c r="E10" s="5" t="n">
        <f aca="false">B10*$B$3</f>
        <v>0</v>
      </c>
      <c r="F10" s="5" t="n">
        <f aca="false">C10*$B$4</f>
        <v>0</v>
      </c>
      <c r="G10" s="5" t="n">
        <f aca="false">E10+F10+D10</f>
        <v>0</v>
      </c>
      <c r="H10" s="10"/>
      <c r="I10" s="5" t="n">
        <f aca="false">H10-G10</f>
        <v>0</v>
      </c>
      <c r="J10" s="24" t="n">
        <f aca="false">IFERROR(I10/H10,0)</f>
        <v>0</v>
      </c>
    </row>
    <row r="11" customFormat="false" ht="15" hidden="false" customHeight="false" outlineLevel="0" collapsed="false">
      <c r="A11" s="12"/>
      <c r="B11" s="22"/>
      <c r="C11" s="23"/>
      <c r="D11" s="10"/>
      <c r="E11" s="5" t="n">
        <f aca="false">B11*$B$3</f>
        <v>0</v>
      </c>
      <c r="F11" s="5" t="n">
        <f aca="false">C11*$B$4</f>
        <v>0</v>
      </c>
      <c r="G11" s="5" t="n">
        <f aca="false">E11+F11+D11</f>
        <v>0</v>
      </c>
      <c r="H11" s="10"/>
      <c r="I11" s="5" t="n">
        <f aca="false">H11-G11</f>
        <v>0</v>
      </c>
      <c r="J11" s="24" t="n">
        <f aca="false">IFERROR(I11/H11,0)</f>
        <v>0</v>
      </c>
    </row>
    <row r="12" customFormat="false" ht="15" hidden="false" customHeight="false" outlineLevel="0" collapsed="false">
      <c r="A12" s="12"/>
      <c r="B12" s="22"/>
      <c r="C12" s="23"/>
      <c r="D12" s="10"/>
      <c r="E12" s="5" t="n">
        <f aca="false">B12*$B$3</f>
        <v>0</v>
      </c>
      <c r="F12" s="5" t="n">
        <f aca="false">C12*$B$4</f>
        <v>0</v>
      </c>
      <c r="G12" s="5" t="n">
        <f aca="false">E12+F12+D12</f>
        <v>0</v>
      </c>
      <c r="H12" s="10"/>
      <c r="I12" s="5" t="n">
        <f aca="false">H12-G12</f>
        <v>0</v>
      </c>
      <c r="J12" s="24" t="n">
        <f aca="false">IFERROR(I12/H12,0)</f>
        <v>0</v>
      </c>
    </row>
    <row r="13" customFormat="false" ht="15" hidden="false" customHeight="false" outlineLevel="0" collapsed="false">
      <c r="A13" s="12"/>
      <c r="B13" s="22"/>
      <c r="C13" s="23"/>
      <c r="D13" s="10"/>
      <c r="E13" s="5" t="n">
        <f aca="false">B13*$B$3</f>
        <v>0</v>
      </c>
      <c r="F13" s="5" t="n">
        <f aca="false">C13*$B$4</f>
        <v>0</v>
      </c>
      <c r="G13" s="5" t="n">
        <f aca="false">E13+F13+D13</f>
        <v>0</v>
      </c>
      <c r="H13" s="10"/>
      <c r="I13" s="5" t="n">
        <f aca="false">H13-G13</f>
        <v>0</v>
      </c>
      <c r="J13" s="24" t="n">
        <f aca="false">IFERROR(I13/H13,0)</f>
        <v>0</v>
      </c>
    </row>
    <row r="14" customFormat="false" ht="15" hidden="false" customHeight="false" outlineLevel="0" collapsed="false">
      <c r="A14" s="12"/>
      <c r="B14" s="22"/>
      <c r="C14" s="23"/>
      <c r="D14" s="10"/>
      <c r="E14" s="5" t="n">
        <f aca="false">B14*$B$3</f>
        <v>0</v>
      </c>
      <c r="F14" s="5" t="n">
        <f aca="false">C14*$B$4</f>
        <v>0</v>
      </c>
      <c r="G14" s="5" t="n">
        <f aca="false">E14+F14+D14</f>
        <v>0</v>
      </c>
      <c r="H14" s="10"/>
      <c r="I14" s="5" t="n">
        <f aca="false">H14-G14</f>
        <v>0</v>
      </c>
      <c r="J14" s="24" t="n">
        <f aca="false">IFERROR(I14/H14,0)</f>
        <v>0</v>
      </c>
    </row>
    <row r="15" customFormat="false" ht="15" hidden="false" customHeight="false" outlineLevel="0" collapsed="false">
      <c r="A15" s="12"/>
      <c r="B15" s="22"/>
      <c r="C15" s="23"/>
      <c r="D15" s="10"/>
      <c r="E15" s="5" t="n">
        <f aca="false">B15*$B$3</f>
        <v>0</v>
      </c>
      <c r="F15" s="5" t="n">
        <f aca="false">C15*$B$4</f>
        <v>0</v>
      </c>
      <c r="G15" s="5" t="n">
        <f aca="false">E15+F15+D15</f>
        <v>0</v>
      </c>
      <c r="H15" s="10"/>
      <c r="I15" s="5" t="n">
        <f aca="false">H15-G15</f>
        <v>0</v>
      </c>
      <c r="J15" s="24" t="n">
        <f aca="false">IFERROR(I15/H15,0)</f>
        <v>0</v>
      </c>
    </row>
    <row r="16" customFormat="false" ht="15" hidden="false" customHeight="false" outlineLevel="0" collapsed="false">
      <c r="A16" s="12"/>
      <c r="B16" s="22"/>
      <c r="C16" s="23"/>
      <c r="D16" s="10"/>
      <c r="E16" s="5" t="n">
        <f aca="false">B16*$B$3</f>
        <v>0</v>
      </c>
      <c r="F16" s="5" t="n">
        <f aca="false">C16*$B$4</f>
        <v>0</v>
      </c>
      <c r="G16" s="5" t="n">
        <f aca="false">E16+F16+D16</f>
        <v>0</v>
      </c>
      <c r="H16" s="10"/>
      <c r="I16" s="5" t="n">
        <f aca="false">H16-G16</f>
        <v>0</v>
      </c>
      <c r="J16" s="24" t="n">
        <f aca="false">IFERROR(I16/H16,0)</f>
        <v>0</v>
      </c>
    </row>
    <row r="17" customFormat="false" ht="15" hidden="false" customHeight="false" outlineLevel="0" collapsed="false">
      <c r="A17" s="12"/>
      <c r="B17" s="22"/>
      <c r="C17" s="23"/>
      <c r="D17" s="10"/>
      <c r="E17" s="5" t="n">
        <f aca="false">B17*$B$3</f>
        <v>0</v>
      </c>
      <c r="F17" s="5" t="n">
        <f aca="false">C17*$B$4</f>
        <v>0</v>
      </c>
      <c r="G17" s="5" t="n">
        <f aca="false">E17+F17+D17</f>
        <v>0</v>
      </c>
      <c r="H17" s="10"/>
      <c r="I17" s="5" t="n">
        <f aca="false">H17-G17</f>
        <v>0</v>
      </c>
      <c r="J17" s="24" t="n">
        <f aca="false">IFERROR(I17/H17,0)</f>
        <v>0</v>
      </c>
    </row>
    <row r="18" customFormat="false" ht="15" hidden="false" customHeight="false" outlineLevel="0" collapsed="false">
      <c r="A18" s="12"/>
      <c r="B18" s="22"/>
      <c r="C18" s="23"/>
      <c r="D18" s="10"/>
      <c r="E18" s="5" t="n">
        <f aca="false">B18*$B$3</f>
        <v>0</v>
      </c>
      <c r="F18" s="5" t="n">
        <f aca="false">C18*$B$4</f>
        <v>0</v>
      </c>
      <c r="G18" s="5" t="n">
        <f aca="false">E18+F18+D18</f>
        <v>0</v>
      </c>
      <c r="H18" s="10"/>
      <c r="I18" s="5" t="n">
        <f aca="false">H18-G18</f>
        <v>0</v>
      </c>
      <c r="J18" s="24" t="n">
        <f aca="false">IFERROR(I18/H18,0)</f>
        <v>0</v>
      </c>
    </row>
    <row r="19" customFormat="false" ht="15" hidden="false" customHeight="false" outlineLevel="0" collapsed="false">
      <c r="A19" s="12"/>
      <c r="B19" s="22"/>
      <c r="C19" s="23"/>
      <c r="D19" s="10"/>
      <c r="E19" s="5" t="n">
        <f aca="false">B19*$B$3</f>
        <v>0</v>
      </c>
      <c r="F19" s="5" t="n">
        <f aca="false">C19*$B$4</f>
        <v>0</v>
      </c>
      <c r="G19" s="5" t="n">
        <f aca="false">E19+F19+D19</f>
        <v>0</v>
      </c>
      <c r="H19" s="10"/>
      <c r="I19" s="5" t="n">
        <f aca="false">H19-G19</f>
        <v>0</v>
      </c>
      <c r="J19" s="24" t="n">
        <f aca="false">IFERROR(I19/H19,0)</f>
        <v>0</v>
      </c>
    </row>
    <row r="20" customFormat="false" ht="15" hidden="false" customHeight="false" outlineLevel="0" collapsed="false">
      <c r="A20" s="12"/>
      <c r="B20" s="22"/>
      <c r="C20" s="23"/>
      <c r="D20" s="10"/>
      <c r="E20" s="5" t="n">
        <f aca="false">B20*$B$3</f>
        <v>0</v>
      </c>
      <c r="F20" s="5" t="n">
        <f aca="false">C20*$B$4</f>
        <v>0</v>
      </c>
      <c r="G20" s="5" t="n">
        <f aca="false">E20+F20+D20</f>
        <v>0</v>
      </c>
      <c r="H20" s="10"/>
      <c r="I20" s="5" t="n">
        <f aca="false">H20-G20</f>
        <v>0</v>
      </c>
      <c r="J20" s="24" t="n">
        <f aca="false">IFERROR(I20/H20,0)</f>
        <v>0</v>
      </c>
    </row>
    <row r="21" customFormat="false" ht="15" hidden="false" customHeight="false" outlineLevel="0" collapsed="false">
      <c r="A21" s="12"/>
      <c r="B21" s="22"/>
      <c r="C21" s="23"/>
      <c r="D21" s="10"/>
      <c r="E21" s="5" t="n">
        <f aca="false">B21*$B$3</f>
        <v>0</v>
      </c>
      <c r="F21" s="5" t="n">
        <f aca="false">C21*$B$4</f>
        <v>0</v>
      </c>
      <c r="G21" s="5" t="n">
        <f aca="false">E21+F21+D21</f>
        <v>0</v>
      </c>
      <c r="H21" s="10"/>
      <c r="I21" s="5" t="n">
        <f aca="false">H21-G21</f>
        <v>0</v>
      </c>
      <c r="J21" s="24" t="n">
        <f aca="false">IFERROR(I21/H21,0)</f>
        <v>0</v>
      </c>
    </row>
    <row r="22" customFormat="false" ht="15" hidden="false" customHeight="false" outlineLevel="0" collapsed="false">
      <c r="A22" s="12"/>
      <c r="B22" s="22"/>
      <c r="C22" s="23"/>
      <c r="D22" s="10"/>
      <c r="E22" s="5" t="n">
        <f aca="false">B22*$B$3</f>
        <v>0</v>
      </c>
      <c r="F22" s="5" t="n">
        <f aca="false">C22*$B$4</f>
        <v>0</v>
      </c>
      <c r="G22" s="5" t="n">
        <f aca="false">E22+F22+D22</f>
        <v>0</v>
      </c>
      <c r="H22" s="10"/>
      <c r="I22" s="5" t="n">
        <f aca="false">H22-G22</f>
        <v>0</v>
      </c>
      <c r="J22" s="24" t="n">
        <f aca="false">IFERROR(I22/H22,0)</f>
        <v>0</v>
      </c>
    </row>
    <row r="23" customFormat="false" ht="15" hidden="false" customHeight="false" outlineLevel="0" collapsed="false">
      <c r="A23" s="12"/>
      <c r="B23" s="22"/>
      <c r="C23" s="23"/>
      <c r="D23" s="10"/>
      <c r="E23" s="5" t="n">
        <f aca="false">B23*$B$3</f>
        <v>0</v>
      </c>
      <c r="F23" s="5" t="n">
        <f aca="false">C23*$B$4</f>
        <v>0</v>
      </c>
      <c r="G23" s="5" t="n">
        <f aca="false">E23+F23+D23</f>
        <v>0</v>
      </c>
      <c r="H23" s="10"/>
      <c r="I23" s="5" t="n">
        <f aca="false">H23-G23</f>
        <v>0</v>
      </c>
      <c r="J23" s="24" t="n">
        <f aca="false">IFERROR(I23/H23,0)</f>
        <v>0</v>
      </c>
    </row>
    <row r="24" customFormat="false" ht="15" hidden="false" customHeight="false" outlineLevel="0" collapsed="false">
      <c r="A24" s="12"/>
      <c r="B24" s="22"/>
      <c r="C24" s="23"/>
      <c r="D24" s="10"/>
      <c r="E24" s="5" t="n">
        <f aca="false">B24*$B$3</f>
        <v>0</v>
      </c>
      <c r="F24" s="5" t="n">
        <f aca="false">C24*$B$4</f>
        <v>0</v>
      </c>
      <c r="G24" s="5" t="n">
        <f aca="false">E24+F24+D24</f>
        <v>0</v>
      </c>
      <c r="H24" s="10"/>
      <c r="I24" s="5" t="n">
        <f aca="false">H24-G24</f>
        <v>0</v>
      </c>
      <c r="J24" s="24" t="n">
        <f aca="false">IFERROR(I24/H24,0)</f>
        <v>0</v>
      </c>
    </row>
    <row r="25" customFormat="false" ht="15" hidden="false" customHeight="false" outlineLevel="0" collapsed="false">
      <c r="A25" s="12"/>
      <c r="B25" s="22"/>
      <c r="C25" s="23"/>
      <c r="D25" s="10"/>
      <c r="E25" s="5" t="n">
        <f aca="false">B25*$B$3</f>
        <v>0</v>
      </c>
      <c r="F25" s="5" t="n">
        <f aca="false">C25*$B$4</f>
        <v>0</v>
      </c>
      <c r="G25" s="5" t="n">
        <f aca="false">E25+F25+D25</f>
        <v>0</v>
      </c>
      <c r="H25" s="10"/>
      <c r="I25" s="5" t="n">
        <f aca="false">H25-G25</f>
        <v>0</v>
      </c>
      <c r="J25" s="24" t="n">
        <f aca="false">IFERROR(I25/H25,0)</f>
        <v>0</v>
      </c>
    </row>
    <row r="26" customFormat="false" ht="15" hidden="false" customHeight="false" outlineLevel="0" collapsed="false">
      <c r="A26" s="12"/>
      <c r="B26" s="22"/>
      <c r="C26" s="23"/>
      <c r="D26" s="10"/>
      <c r="E26" s="5" t="n">
        <f aca="false">B26*$B$3</f>
        <v>0</v>
      </c>
      <c r="F26" s="5" t="n">
        <f aca="false">C26*$B$4</f>
        <v>0</v>
      </c>
      <c r="G26" s="5" t="n">
        <f aca="false">E26+F26+D26</f>
        <v>0</v>
      </c>
      <c r="H26" s="10"/>
      <c r="I26" s="5" t="n">
        <f aca="false">H26-G26</f>
        <v>0</v>
      </c>
      <c r="J26" s="24" t="n">
        <f aca="false">IFERROR(I26/H26,0)</f>
        <v>0</v>
      </c>
    </row>
    <row r="27" customFormat="false" ht="15" hidden="false" customHeight="false" outlineLevel="0" collapsed="false">
      <c r="A27" s="12"/>
      <c r="B27" s="22"/>
      <c r="C27" s="23"/>
      <c r="D27" s="10"/>
      <c r="E27" s="5" t="n">
        <f aca="false">B27*$B$3</f>
        <v>0</v>
      </c>
      <c r="F27" s="5" t="n">
        <f aca="false">C27*$B$4</f>
        <v>0</v>
      </c>
      <c r="G27" s="5" t="n">
        <f aca="false">E27+F27+D27</f>
        <v>0</v>
      </c>
      <c r="H27" s="10"/>
      <c r="I27" s="5" t="n">
        <f aca="false">H27-G27</f>
        <v>0</v>
      </c>
      <c r="J27" s="24" t="n">
        <f aca="false">IFERROR(I27/H27,0)</f>
        <v>0</v>
      </c>
    </row>
    <row r="28" customFormat="false" ht="15" hidden="false" customHeight="false" outlineLevel="0" collapsed="false">
      <c r="A28" s="12"/>
      <c r="B28" s="22"/>
      <c r="C28" s="23"/>
      <c r="D28" s="10"/>
      <c r="E28" s="5" t="n">
        <f aca="false">B28*$B$3</f>
        <v>0</v>
      </c>
      <c r="F28" s="5" t="n">
        <f aca="false">C28*$B$4</f>
        <v>0</v>
      </c>
      <c r="G28" s="5" t="n">
        <f aca="false">E28+F28+D28</f>
        <v>0</v>
      </c>
      <c r="H28" s="10"/>
      <c r="I28" s="5" t="n">
        <f aca="false">H28-G28</f>
        <v>0</v>
      </c>
      <c r="J28" s="24" t="n">
        <f aca="false">IFERROR(I28/H28,0)</f>
        <v>0</v>
      </c>
    </row>
    <row r="29" customFormat="false" ht="15" hidden="false" customHeight="false" outlineLevel="0" collapsed="false">
      <c r="A29" s="12"/>
      <c r="B29" s="22"/>
      <c r="C29" s="23"/>
      <c r="D29" s="10"/>
      <c r="E29" s="5" t="n">
        <f aca="false">B29*$B$3</f>
        <v>0</v>
      </c>
      <c r="F29" s="5" t="n">
        <f aca="false">C29*$B$4</f>
        <v>0</v>
      </c>
      <c r="G29" s="5" t="n">
        <f aca="false">E29+F29+D29</f>
        <v>0</v>
      </c>
      <c r="H29" s="10"/>
      <c r="I29" s="5" t="n">
        <f aca="false">H29-G29</f>
        <v>0</v>
      </c>
      <c r="J29" s="24" t="n">
        <f aca="false">IFERROR(I29/H29,0)</f>
        <v>0</v>
      </c>
    </row>
    <row r="30" customFormat="false" ht="15" hidden="false" customHeight="false" outlineLevel="0" collapsed="false">
      <c r="A30" s="12"/>
      <c r="B30" s="22"/>
      <c r="C30" s="23"/>
      <c r="D30" s="10"/>
      <c r="E30" s="5" t="n">
        <f aca="false">B30*$B$3</f>
        <v>0</v>
      </c>
      <c r="F30" s="5" t="n">
        <f aca="false">C30*$B$4</f>
        <v>0</v>
      </c>
      <c r="G30" s="5" t="n">
        <f aca="false">E30+F30+D30</f>
        <v>0</v>
      </c>
      <c r="H30" s="10"/>
      <c r="I30" s="5" t="n">
        <f aca="false">H30-G30</f>
        <v>0</v>
      </c>
      <c r="J30" s="24" t="n">
        <f aca="false">IFERROR(I30/H30,0)</f>
        <v>0</v>
      </c>
    </row>
    <row r="31" customFormat="false" ht="15" hidden="false" customHeight="false" outlineLevel="0" collapsed="false">
      <c r="A31" s="12"/>
      <c r="B31" s="22"/>
      <c r="C31" s="23"/>
      <c r="D31" s="10"/>
      <c r="E31" s="5" t="n">
        <f aca="false">B31*$B$3</f>
        <v>0</v>
      </c>
      <c r="F31" s="5" t="n">
        <f aca="false">C31*$B$4</f>
        <v>0</v>
      </c>
      <c r="G31" s="5" t="n">
        <f aca="false">E31+F31+D31</f>
        <v>0</v>
      </c>
      <c r="H31" s="10"/>
      <c r="I31" s="5" t="n">
        <f aca="false">H31-G31</f>
        <v>0</v>
      </c>
      <c r="J31" s="24" t="n">
        <f aca="false">IFERROR(I31/H31,0)</f>
        <v>0</v>
      </c>
    </row>
    <row r="32" customFormat="false" ht="15" hidden="false" customHeight="false" outlineLevel="0" collapsed="false">
      <c r="A32" s="12"/>
      <c r="B32" s="22"/>
      <c r="C32" s="23"/>
      <c r="D32" s="10"/>
      <c r="E32" s="5" t="n">
        <f aca="false">B32*$B$3</f>
        <v>0</v>
      </c>
      <c r="F32" s="5" t="n">
        <f aca="false">C32*$B$4</f>
        <v>0</v>
      </c>
      <c r="G32" s="5" t="n">
        <f aca="false">E32+F32+D32</f>
        <v>0</v>
      </c>
      <c r="H32" s="10"/>
      <c r="I32" s="5" t="n">
        <f aca="false">H32-G32</f>
        <v>0</v>
      </c>
      <c r="J32" s="24" t="n">
        <f aca="false">IFERROR(I32/H32,0)</f>
        <v>0</v>
      </c>
    </row>
    <row r="33" customFormat="false" ht="15" hidden="false" customHeight="false" outlineLevel="0" collapsed="false">
      <c r="A33" s="12"/>
      <c r="B33" s="22"/>
      <c r="C33" s="23"/>
      <c r="D33" s="10"/>
      <c r="E33" s="5" t="n">
        <f aca="false">B33*$B$3</f>
        <v>0</v>
      </c>
      <c r="F33" s="5" t="n">
        <f aca="false">C33*$B$4</f>
        <v>0</v>
      </c>
      <c r="G33" s="5" t="n">
        <f aca="false">E33+F33+D33</f>
        <v>0</v>
      </c>
      <c r="H33" s="10"/>
      <c r="I33" s="5" t="n">
        <f aca="false">H33-G33</f>
        <v>0</v>
      </c>
      <c r="J33" s="24" t="n">
        <f aca="false">IFERROR(I33/H33,0)</f>
        <v>0</v>
      </c>
    </row>
    <row r="34" customFormat="false" ht="15" hidden="false" customHeight="false" outlineLevel="0" collapsed="false">
      <c r="A34" s="12"/>
      <c r="B34" s="22"/>
      <c r="C34" s="23"/>
      <c r="D34" s="10"/>
      <c r="E34" s="5" t="n">
        <f aca="false">B34*$B$3</f>
        <v>0</v>
      </c>
      <c r="F34" s="5" t="n">
        <f aca="false">C34*$B$4</f>
        <v>0</v>
      </c>
      <c r="G34" s="5" t="n">
        <f aca="false">E34+F34+D34</f>
        <v>0</v>
      </c>
      <c r="H34" s="10"/>
      <c r="I34" s="5" t="n">
        <f aca="false">H34-G34</f>
        <v>0</v>
      </c>
      <c r="J34" s="24" t="n">
        <f aca="false">IFERROR(I34/H34,0)</f>
        <v>0</v>
      </c>
    </row>
    <row r="35" customFormat="false" ht="15" hidden="false" customHeight="false" outlineLevel="0" collapsed="false">
      <c r="A35" s="12"/>
      <c r="B35" s="22"/>
      <c r="C35" s="23"/>
      <c r="D35" s="10"/>
      <c r="E35" s="5" t="n">
        <f aca="false">B35*$B$3</f>
        <v>0</v>
      </c>
      <c r="F35" s="5" t="n">
        <f aca="false">C35*$B$4</f>
        <v>0</v>
      </c>
      <c r="G35" s="5" t="n">
        <f aca="false">E35+F35+D35</f>
        <v>0</v>
      </c>
      <c r="H35" s="10"/>
      <c r="I35" s="5" t="n">
        <f aca="false">H35-G35</f>
        <v>0</v>
      </c>
      <c r="J35" s="24" t="n">
        <f aca="false">IFERROR(I35/H35,0)</f>
        <v>0</v>
      </c>
    </row>
    <row r="36" customFormat="false" ht="15" hidden="false" customHeight="false" outlineLevel="0" collapsed="false">
      <c r="A36" s="12"/>
      <c r="B36" s="22"/>
      <c r="C36" s="23"/>
      <c r="D36" s="10"/>
      <c r="E36" s="5" t="n">
        <f aca="false">B36*$B$3</f>
        <v>0</v>
      </c>
      <c r="F36" s="5" t="n">
        <f aca="false">C36*$B$4</f>
        <v>0</v>
      </c>
      <c r="G36" s="5" t="n">
        <f aca="false">E36+F36+D36</f>
        <v>0</v>
      </c>
      <c r="H36" s="10"/>
      <c r="I36" s="5" t="n">
        <f aca="false">H36-G36</f>
        <v>0</v>
      </c>
      <c r="J36" s="24" t="n">
        <f aca="false">IFERROR(I36/H36,0)</f>
        <v>0</v>
      </c>
    </row>
  </sheetData>
  <mergeCells count="1">
    <mergeCell ref="A1:J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04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2"/>
    <col collapsed="false" customWidth="true" hidden="false" outlineLevel="0" max="9" min="4" style="0" width="16"/>
    <col collapsed="false" customWidth="true" hidden="false" outlineLevel="0" max="10" min="10" style="0" width="18"/>
  </cols>
  <sheetData>
    <row r="1" customFormat="false" ht="30" hidden="false" customHeight="true" outlineLevel="0" collapsed="false">
      <c r="A1" s="1" t="s">
        <v>54</v>
      </c>
      <c r="B1" s="1"/>
      <c r="C1" s="1"/>
      <c r="D1" s="1"/>
      <c r="E1" s="1"/>
      <c r="F1" s="1"/>
      <c r="G1" s="1"/>
      <c r="H1" s="1"/>
      <c r="I1" s="1"/>
      <c r="J1" s="1"/>
    </row>
    <row r="2" customFormat="false" ht="30" hidden="false" customHeight="true" outlineLevel="0" collapsed="false">
      <c r="A2" s="8" t="s">
        <v>21</v>
      </c>
      <c r="B2" s="8" t="s">
        <v>55</v>
      </c>
      <c r="C2" s="8" t="s">
        <v>56</v>
      </c>
      <c r="D2" s="8" t="s">
        <v>57</v>
      </c>
      <c r="E2" s="8" t="s">
        <v>58</v>
      </c>
      <c r="F2" s="8" t="s">
        <v>59</v>
      </c>
      <c r="G2" s="8" t="s">
        <v>60</v>
      </c>
      <c r="H2" s="8" t="s">
        <v>47</v>
      </c>
      <c r="I2" s="8" t="s">
        <v>46</v>
      </c>
      <c r="J2" s="8" t="s">
        <v>61</v>
      </c>
    </row>
    <row r="3" customFormat="false" ht="15" hidden="false" customHeight="false" outlineLevel="0" collapsed="false">
      <c r="A3" s="9"/>
      <c r="B3" s="9"/>
      <c r="C3" s="22"/>
      <c r="D3" s="5" t="n">
        <f aca="false">IFERROR(VLOOKUP(B3,'كتالوج المنتجات والتسعير'!$A$7:$J$36,8,FALSE()),0)</f>
        <v>0</v>
      </c>
      <c r="E3" s="5" t="n">
        <f aca="false">IFERROR(VLOOKUP(B3,'كتالوج المنتجات والتسعير'!$A$7:$J$36,7,FALSE()),0)</f>
        <v>0</v>
      </c>
      <c r="F3" s="5" t="n">
        <f aca="false">IFERROR(VLOOKUP(B3,'كتالوج المنتجات والتسعير'!$A$7:$J$36,6,FALSE()),0)</f>
        <v>0</v>
      </c>
      <c r="G3" s="5" t="n">
        <f aca="false">C3*D3</f>
        <v>0</v>
      </c>
      <c r="H3" s="5" t="n">
        <f aca="false">C3*E3</f>
        <v>0</v>
      </c>
      <c r="I3" s="5" t="n">
        <f aca="false">C3*F3</f>
        <v>0</v>
      </c>
      <c r="J3" s="5" t="n">
        <f aca="false">G3-H3</f>
        <v>0</v>
      </c>
    </row>
    <row r="4" customFormat="false" ht="15" hidden="false" customHeight="false" outlineLevel="0" collapsed="false">
      <c r="A4" s="9"/>
      <c r="B4" s="9"/>
      <c r="C4" s="22"/>
      <c r="D4" s="5" t="n">
        <f aca="false">IFERROR(VLOOKUP(B4,'كتالوج المنتجات والتسعير'!$A$7:$J$36,8,FALSE()),0)</f>
        <v>0</v>
      </c>
      <c r="E4" s="5" t="n">
        <f aca="false">IFERROR(VLOOKUP(B4,'كتالوج المنتجات والتسعير'!$A$7:$J$36,7,FALSE()),0)</f>
        <v>0</v>
      </c>
      <c r="F4" s="5" t="n">
        <f aca="false">IFERROR(VLOOKUP(B4,'كتالوج المنتجات والتسعير'!$A$7:$J$36,6,FALSE()),0)</f>
        <v>0</v>
      </c>
      <c r="G4" s="5" t="n">
        <f aca="false">C4*D4</f>
        <v>0</v>
      </c>
      <c r="H4" s="5" t="n">
        <f aca="false">C4*E4</f>
        <v>0</v>
      </c>
      <c r="I4" s="5" t="n">
        <f aca="false">C4*F4</f>
        <v>0</v>
      </c>
      <c r="J4" s="5" t="n">
        <f aca="false">G4-H4</f>
        <v>0</v>
      </c>
    </row>
    <row r="5" customFormat="false" ht="15" hidden="false" customHeight="false" outlineLevel="0" collapsed="false">
      <c r="A5" s="9"/>
      <c r="B5" s="9"/>
      <c r="C5" s="22"/>
      <c r="D5" s="5" t="n">
        <f aca="false">IFERROR(VLOOKUP(B5,'كتالوج المنتجات والتسعير'!$A$7:$J$36,8,FALSE()),0)</f>
        <v>0</v>
      </c>
      <c r="E5" s="5" t="n">
        <f aca="false">IFERROR(VLOOKUP(B5,'كتالوج المنتجات والتسعير'!$A$7:$J$36,7,FALSE()),0)</f>
        <v>0</v>
      </c>
      <c r="F5" s="5" t="n">
        <f aca="false">IFERROR(VLOOKUP(B5,'كتالوج المنتجات والتسعير'!$A$7:$J$36,6,FALSE()),0)</f>
        <v>0</v>
      </c>
      <c r="G5" s="5" t="n">
        <f aca="false">C5*D5</f>
        <v>0</v>
      </c>
      <c r="H5" s="5" t="n">
        <f aca="false">C5*E5</f>
        <v>0</v>
      </c>
      <c r="I5" s="5" t="n">
        <f aca="false">C5*F5</f>
        <v>0</v>
      </c>
      <c r="J5" s="5" t="n">
        <f aca="false">G5-H5</f>
        <v>0</v>
      </c>
    </row>
    <row r="6" customFormat="false" ht="15" hidden="false" customHeight="false" outlineLevel="0" collapsed="false">
      <c r="A6" s="9"/>
      <c r="B6" s="9"/>
      <c r="C6" s="22"/>
      <c r="D6" s="5" t="n">
        <f aca="false">IFERROR(VLOOKUP(B6,'كتالوج المنتجات والتسعير'!$A$7:$J$36,8,FALSE()),0)</f>
        <v>0</v>
      </c>
      <c r="E6" s="5" t="n">
        <f aca="false">IFERROR(VLOOKUP(B6,'كتالوج المنتجات والتسعير'!$A$7:$J$36,7,FALSE()),0)</f>
        <v>0</v>
      </c>
      <c r="F6" s="5" t="n">
        <f aca="false">IFERROR(VLOOKUP(B6,'كتالوج المنتجات والتسعير'!$A$7:$J$36,6,FALSE()),0)</f>
        <v>0</v>
      </c>
      <c r="G6" s="5" t="n">
        <f aca="false">C6*D6</f>
        <v>0</v>
      </c>
      <c r="H6" s="5" t="n">
        <f aca="false">C6*E6</f>
        <v>0</v>
      </c>
      <c r="I6" s="5" t="n">
        <f aca="false">C6*F6</f>
        <v>0</v>
      </c>
      <c r="J6" s="5" t="n">
        <f aca="false">G6-H6</f>
        <v>0</v>
      </c>
    </row>
    <row r="7" customFormat="false" ht="15" hidden="false" customHeight="false" outlineLevel="0" collapsed="false">
      <c r="A7" s="9"/>
      <c r="B7" s="9"/>
      <c r="C7" s="22"/>
      <c r="D7" s="5" t="n">
        <f aca="false">IFERROR(VLOOKUP(B7,'كتالوج المنتجات والتسعير'!$A$7:$J$36,8,FALSE()),0)</f>
        <v>0</v>
      </c>
      <c r="E7" s="5" t="n">
        <f aca="false">IFERROR(VLOOKUP(B7,'كتالوج المنتجات والتسعير'!$A$7:$J$36,7,FALSE()),0)</f>
        <v>0</v>
      </c>
      <c r="F7" s="5" t="n">
        <f aca="false">IFERROR(VLOOKUP(B7,'كتالوج المنتجات والتسعير'!$A$7:$J$36,6,FALSE()),0)</f>
        <v>0</v>
      </c>
      <c r="G7" s="5" t="n">
        <f aca="false">C7*D7</f>
        <v>0</v>
      </c>
      <c r="H7" s="5" t="n">
        <f aca="false">C7*E7</f>
        <v>0</v>
      </c>
      <c r="I7" s="5" t="n">
        <f aca="false">C7*F7</f>
        <v>0</v>
      </c>
      <c r="J7" s="5" t="n">
        <f aca="false">G7-H7</f>
        <v>0</v>
      </c>
    </row>
    <row r="8" customFormat="false" ht="15" hidden="false" customHeight="false" outlineLevel="0" collapsed="false">
      <c r="A8" s="9"/>
      <c r="B8" s="9"/>
      <c r="C8" s="22"/>
      <c r="D8" s="5" t="n">
        <f aca="false">IFERROR(VLOOKUP(B8,'كتالوج المنتجات والتسعير'!$A$7:$J$36,8,FALSE()),0)</f>
        <v>0</v>
      </c>
      <c r="E8" s="5" t="n">
        <f aca="false">IFERROR(VLOOKUP(B8,'كتالوج المنتجات والتسعير'!$A$7:$J$36,7,FALSE()),0)</f>
        <v>0</v>
      </c>
      <c r="F8" s="5" t="n">
        <f aca="false">IFERROR(VLOOKUP(B8,'كتالوج المنتجات والتسعير'!$A$7:$J$36,6,FALSE()),0)</f>
        <v>0</v>
      </c>
      <c r="G8" s="5" t="n">
        <f aca="false">C8*D8</f>
        <v>0</v>
      </c>
      <c r="H8" s="5" t="n">
        <f aca="false">C8*E8</f>
        <v>0</v>
      </c>
      <c r="I8" s="5" t="n">
        <f aca="false">C8*F8</f>
        <v>0</v>
      </c>
      <c r="J8" s="5" t="n">
        <f aca="false">G8-H8</f>
        <v>0</v>
      </c>
    </row>
    <row r="9" customFormat="false" ht="15" hidden="false" customHeight="false" outlineLevel="0" collapsed="false">
      <c r="A9" s="9"/>
      <c r="B9" s="9"/>
      <c r="C9" s="22"/>
      <c r="D9" s="5" t="n">
        <f aca="false">IFERROR(VLOOKUP(B9,'كتالوج المنتجات والتسعير'!$A$7:$J$36,8,FALSE()),0)</f>
        <v>0</v>
      </c>
      <c r="E9" s="5" t="n">
        <f aca="false">IFERROR(VLOOKUP(B9,'كتالوج المنتجات والتسعير'!$A$7:$J$36,7,FALSE()),0)</f>
        <v>0</v>
      </c>
      <c r="F9" s="5" t="n">
        <f aca="false">IFERROR(VLOOKUP(B9,'كتالوج المنتجات والتسعير'!$A$7:$J$36,6,FALSE()),0)</f>
        <v>0</v>
      </c>
      <c r="G9" s="5" t="n">
        <f aca="false">C9*D9</f>
        <v>0</v>
      </c>
      <c r="H9" s="5" t="n">
        <f aca="false">C9*E9</f>
        <v>0</v>
      </c>
      <c r="I9" s="5" t="n">
        <f aca="false">C9*F9</f>
        <v>0</v>
      </c>
      <c r="J9" s="5" t="n">
        <f aca="false">G9-H9</f>
        <v>0</v>
      </c>
    </row>
    <row r="10" customFormat="false" ht="15" hidden="false" customHeight="false" outlineLevel="0" collapsed="false">
      <c r="A10" s="9"/>
      <c r="B10" s="9"/>
      <c r="C10" s="22"/>
      <c r="D10" s="5" t="n">
        <f aca="false">IFERROR(VLOOKUP(B10,'كتالوج المنتجات والتسعير'!$A$7:$J$36,8,FALSE()),0)</f>
        <v>0</v>
      </c>
      <c r="E10" s="5" t="n">
        <f aca="false">IFERROR(VLOOKUP(B10,'كتالوج المنتجات والتسعير'!$A$7:$J$36,7,FALSE()),0)</f>
        <v>0</v>
      </c>
      <c r="F10" s="5" t="n">
        <f aca="false">IFERROR(VLOOKUP(B10,'كتالوج المنتجات والتسعير'!$A$7:$J$36,6,FALSE()),0)</f>
        <v>0</v>
      </c>
      <c r="G10" s="5" t="n">
        <f aca="false">C10*D10</f>
        <v>0</v>
      </c>
      <c r="H10" s="5" t="n">
        <f aca="false">C10*E10</f>
        <v>0</v>
      </c>
      <c r="I10" s="5" t="n">
        <f aca="false">C10*F10</f>
        <v>0</v>
      </c>
      <c r="J10" s="5" t="n">
        <f aca="false">G10-H10</f>
        <v>0</v>
      </c>
    </row>
    <row r="11" customFormat="false" ht="15" hidden="false" customHeight="false" outlineLevel="0" collapsed="false">
      <c r="A11" s="9"/>
      <c r="B11" s="9"/>
      <c r="C11" s="22"/>
      <c r="D11" s="5" t="n">
        <f aca="false">IFERROR(VLOOKUP(B11,'كتالوج المنتجات والتسعير'!$A$7:$J$36,8,FALSE()),0)</f>
        <v>0</v>
      </c>
      <c r="E11" s="5" t="n">
        <f aca="false">IFERROR(VLOOKUP(B11,'كتالوج المنتجات والتسعير'!$A$7:$J$36,7,FALSE()),0)</f>
        <v>0</v>
      </c>
      <c r="F11" s="5" t="n">
        <f aca="false">IFERROR(VLOOKUP(B11,'كتالوج المنتجات والتسعير'!$A$7:$J$36,6,FALSE()),0)</f>
        <v>0</v>
      </c>
      <c r="G11" s="5" t="n">
        <f aca="false">C11*D11</f>
        <v>0</v>
      </c>
      <c r="H11" s="5" t="n">
        <f aca="false">C11*E11</f>
        <v>0</v>
      </c>
      <c r="I11" s="5" t="n">
        <f aca="false">C11*F11</f>
        <v>0</v>
      </c>
      <c r="J11" s="5" t="n">
        <f aca="false">G11-H11</f>
        <v>0</v>
      </c>
    </row>
    <row r="12" customFormat="false" ht="15" hidden="false" customHeight="false" outlineLevel="0" collapsed="false">
      <c r="A12" s="9"/>
      <c r="B12" s="9"/>
      <c r="C12" s="22"/>
      <c r="D12" s="5" t="n">
        <f aca="false">IFERROR(VLOOKUP(B12,'كتالوج المنتجات والتسعير'!$A$7:$J$36,8,FALSE()),0)</f>
        <v>0</v>
      </c>
      <c r="E12" s="5" t="n">
        <f aca="false">IFERROR(VLOOKUP(B12,'كتالوج المنتجات والتسعير'!$A$7:$J$36,7,FALSE()),0)</f>
        <v>0</v>
      </c>
      <c r="F12" s="5" t="n">
        <f aca="false">IFERROR(VLOOKUP(B12,'كتالوج المنتجات والتسعير'!$A$7:$J$36,6,FALSE()),0)</f>
        <v>0</v>
      </c>
      <c r="G12" s="5" t="n">
        <f aca="false">C12*D12</f>
        <v>0</v>
      </c>
      <c r="H12" s="5" t="n">
        <f aca="false">C12*E12</f>
        <v>0</v>
      </c>
      <c r="I12" s="5" t="n">
        <f aca="false">C12*F12</f>
        <v>0</v>
      </c>
      <c r="J12" s="5" t="n">
        <f aca="false">G12-H12</f>
        <v>0</v>
      </c>
    </row>
    <row r="13" customFormat="false" ht="15" hidden="false" customHeight="false" outlineLevel="0" collapsed="false">
      <c r="A13" s="9"/>
      <c r="B13" s="9"/>
      <c r="C13" s="22"/>
      <c r="D13" s="5" t="n">
        <f aca="false">IFERROR(VLOOKUP(B13,'كتالوج المنتجات والتسعير'!$A$7:$J$36,8,FALSE()),0)</f>
        <v>0</v>
      </c>
      <c r="E13" s="5" t="n">
        <f aca="false">IFERROR(VLOOKUP(B13,'كتالوج المنتجات والتسعير'!$A$7:$J$36,7,FALSE()),0)</f>
        <v>0</v>
      </c>
      <c r="F13" s="5" t="n">
        <f aca="false">IFERROR(VLOOKUP(B13,'كتالوج المنتجات والتسعير'!$A$7:$J$36,6,FALSE()),0)</f>
        <v>0</v>
      </c>
      <c r="G13" s="5" t="n">
        <f aca="false">C13*D13</f>
        <v>0</v>
      </c>
      <c r="H13" s="5" t="n">
        <f aca="false">C13*E13</f>
        <v>0</v>
      </c>
      <c r="I13" s="5" t="n">
        <f aca="false">C13*F13</f>
        <v>0</v>
      </c>
      <c r="J13" s="5" t="n">
        <f aca="false">G13-H13</f>
        <v>0</v>
      </c>
    </row>
    <row r="14" customFormat="false" ht="15" hidden="false" customHeight="false" outlineLevel="0" collapsed="false">
      <c r="A14" s="9"/>
      <c r="B14" s="9"/>
      <c r="C14" s="22"/>
      <c r="D14" s="5" t="n">
        <f aca="false">IFERROR(VLOOKUP(B14,'كتالوج المنتجات والتسعير'!$A$7:$J$36,8,FALSE()),0)</f>
        <v>0</v>
      </c>
      <c r="E14" s="5" t="n">
        <f aca="false">IFERROR(VLOOKUP(B14,'كتالوج المنتجات والتسعير'!$A$7:$J$36,7,FALSE()),0)</f>
        <v>0</v>
      </c>
      <c r="F14" s="5" t="n">
        <f aca="false">IFERROR(VLOOKUP(B14,'كتالوج المنتجات والتسعير'!$A$7:$J$36,6,FALSE()),0)</f>
        <v>0</v>
      </c>
      <c r="G14" s="5" t="n">
        <f aca="false">C14*D14</f>
        <v>0</v>
      </c>
      <c r="H14" s="5" t="n">
        <f aca="false">C14*E14</f>
        <v>0</v>
      </c>
      <c r="I14" s="5" t="n">
        <f aca="false">C14*F14</f>
        <v>0</v>
      </c>
      <c r="J14" s="5" t="n">
        <f aca="false">G14-H14</f>
        <v>0</v>
      </c>
    </row>
    <row r="15" customFormat="false" ht="15" hidden="false" customHeight="false" outlineLevel="0" collapsed="false">
      <c r="A15" s="9"/>
      <c r="B15" s="9"/>
      <c r="C15" s="22"/>
      <c r="D15" s="5" t="n">
        <f aca="false">IFERROR(VLOOKUP(B15,'كتالوج المنتجات والتسعير'!$A$7:$J$36,8,FALSE()),0)</f>
        <v>0</v>
      </c>
      <c r="E15" s="5" t="n">
        <f aca="false">IFERROR(VLOOKUP(B15,'كتالوج المنتجات والتسعير'!$A$7:$J$36,7,FALSE()),0)</f>
        <v>0</v>
      </c>
      <c r="F15" s="5" t="n">
        <f aca="false">IFERROR(VLOOKUP(B15,'كتالوج المنتجات والتسعير'!$A$7:$J$36,6,FALSE()),0)</f>
        <v>0</v>
      </c>
      <c r="G15" s="5" t="n">
        <f aca="false">C15*D15</f>
        <v>0</v>
      </c>
      <c r="H15" s="5" t="n">
        <f aca="false">C15*E15</f>
        <v>0</v>
      </c>
      <c r="I15" s="5" t="n">
        <f aca="false">C15*F15</f>
        <v>0</v>
      </c>
      <c r="J15" s="5" t="n">
        <f aca="false">G15-H15</f>
        <v>0</v>
      </c>
    </row>
    <row r="16" customFormat="false" ht="15" hidden="false" customHeight="false" outlineLevel="0" collapsed="false">
      <c r="A16" s="9"/>
      <c r="B16" s="9"/>
      <c r="C16" s="22"/>
      <c r="D16" s="5" t="n">
        <f aca="false">IFERROR(VLOOKUP(B16,'كتالوج المنتجات والتسعير'!$A$7:$J$36,8,FALSE()),0)</f>
        <v>0</v>
      </c>
      <c r="E16" s="5" t="n">
        <f aca="false">IFERROR(VLOOKUP(B16,'كتالوج المنتجات والتسعير'!$A$7:$J$36,7,FALSE()),0)</f>
        <v>0</v>
      </c>
      <c r="F16" s="5" t="n">
        <f aca="false">IFERROR(VLOOKUP(B16,'كتالوج المنتجات والتسعير'!$A$7:$J$36,6,FALSE()),0)</f>
        <v>0</v>
      </c>
      <c r="G16" s="5" t="n">
        <f aca="false">C16*D16</f>
        <v>0</v>
      </c>
      <c r="H16" s="5" t="n">
        <f aca="false">C16*E16</f>
        <v>0</v>
      </c>
      <c r="I16" s="5" t="n">
        <f aca="false">C16*F16</f>
        <v>0</v>
      </c>
      <c r="J16" s="5" t="n">
        <f aca="false">G16-H16</f>
        <v>0</v>
      </c>
    </row>
    <row r="17" customFormat="false" ht="15" hidden="false" customHeight="false" outlineLevel="0" collapsed="false">
      <c r="A17" s="9"/>
      <c r="B17" s="9"/>
      <c r="C17" s="22"/>
      <c r="D17" s="5" t="n">
        <f aca="false">IFERROR(VLOOKUP(B17,'كتالوج المنتجات والتسعير'!$A$7:$J$36,8,FALSE()),0)</f>
        <v>0</v>
      </c>
      <c r="E17" s="5" t="n">
        <f aca="false">IFERROR(VLOOKUP(B17,'كتالوج المنتجات والتسعير'!$A$7:$J$36,7,FALSE()),0)</f>
        <v>0</v>
      </c>
      <c r="F17" s="5" t="n">
        <f aca="false">IFERROR(VLOOKUP(B17,'كتالوج المنتجات والتسعير'!$A$7:$J$36,6,FALSE()),0)</f>
        <v>0</v>
      </c>
      <c r="G17" s="5" t="n">
        <f aca="false">C17*D17</f>
        <v>0</v>
      </c>
      <c r="H17" s="5" t="n">
        <f aca="false">C17*E17</f>
        <v>0</v>
      </c>
      <c r="I17" s="5" t="n">
        <f aca="false">C17*F17</f>
        <v>0</v>
      </c>
      <c r="J17" s="5" t="n">
        <f aca="false">G17-H17</f>
        <v>0</v>
      </c>
    </row>
    <row r="18" customFormat="false" ht="15" hidden="false" customHeight="false" outlineLevel="0" collapsed="false">
      <c r="A18" s="9"/>
      <c r="B18" s="9"/>
      <c r="C18" s="22"/>
      <c r="D18" s="5" t="n">
        <f aca="false">IFERROR(VLOOKUP(B18,'كتالوج المنتجات والتسعير'!$A$7:$J$36,8,FALSE()),0)</f>
        <v>0</v>
      </c>
      <c r="E18" s="5" t="n">
        <f aca="false">IFERROR(VLOOKUP(B18,'كتالوج المنتجات والتسعير'!$A$7:$J$36,7,FALSE()),0)</f>
        <v>0</v>
      </c>
      <c r="F18" s="5" t="n">
        <f aca="false">IFERROR(VLOOKUP(B18,'كتالوج المنتجات والتسعير'!$A$7:$J$36,6,FALSE()),0)</f>
        <v>0</v>
      </c>
      <c r="G18" s="5" t="n">
        <f aca="false">C18*D18</f>
        <v>0</v>
      </c>
      <c r="H18" s="5" t="n">
        <f aca="false">C18*E18</f>
        <v>0</v>
      </c>
      <c r="I18" s="5" t="n">
        <f aca="false">C18*F18</f>
        <v>0</v>
      </c>
      <c r="J18" s="5" t="n">
        <f aca="false">G18-H18</f>
        <v>0</v>
      </c>
    </row>
    <row r="19" customFormat="false" ht="15" hidden="false" customHeight="false" outlineLevel="0" collapsed="false">
      <c r="A19" s="9"/>
      <c r="B19" s="9"/>
      <c r="C19" s="22"/>
      <c r="D19" s="5" t="n">
        <f aca="false">IFERROR(VLOOKUP(B19,'كتالوج المنتجات والتسعير'!$A$7:$J$36,8,FALSE()),0)</f>
        <v>0</v>
      </c>
      <c r="E19" s="5" t="n">
        <f aca="false">IFERROR(VLOOKUP(B19,'كتالوج المنتجات والتسعير'!$A$7:$J$36,7,FALSE()),0)</f>
        <v>0</v>
      </c>
      <c r="F19" s="5" t="n">
        <f aca="false">IFERROR(VLOOKUP(B19,'كتالوج المنتجات والتسعير'!$A$7:$J$36,6,FALSE()),0)</f>
        <v>0</v>
      </c>
      <c r="G19" s="5" t="n">
        <f aca="false">C19*D19</f>
        <v>0</v>
      </c>
      <c r="H19" s="5" t="n">
        <f aca="false">C19*E19</f>
        <v>0</v>
      </c>
      <c r="I19" s="5" t="n">
        <f aca="false">C19*F19</f>
        <v>0</v>
      </c>
      <c r="J19" s="5" t="n">
        <f aca="false">G19-H19</f>
        <v>0</v>
      </c>
    </row>
    <row r="20" customFormat="false" ht="15" hidden="false" customHeight="false" outlineLevel="0" collapsed="false">
      <c r="A20" s="9"/>
      <c r="B20" s="9"/>
      <c r="C20" s="22"/>
      <c r="D20" s="5" t="n">
        <f aca="false">IFERROR(VLOOKUP(B20,'كتالوج المنتجات والتسعير'!$A$7:$J$36,8,FALSE()),0)</f>
        <v>0</v>
      </c>
      <c r="E20" s="5" t="n">
        <f aca="false">IFERROR(VLOOKUP(B20,'كتالوج المنتجات والتسعير'!$A$7:$J$36,7,FALSE()),0)</f>
        <v>0</v>
      </c>
      <c r="F20" s="5" t="n">
        <f aca="false">IFERROR(VLOOKUP(B20,'كتالوج المنتجات والتسعير'!$A$7:$J$36,6,FALSE()),0)</f>
        <v>0</v>
      </c>
      <c r="G20" s="5" t="n">
        <f aca="false">C20*D20</f>
        <v>0</v>
      </c>
      <c r="H20" s="5" t="n">
        <f aca="false">C20*E20</f>
        <v>0</v>
      </c>
      <c r="I20" s="5" t="n">
        <f aca="false">C20*F20</f>
        <v>0</v>
      </c>
      <c r="J20" s="5" t="n">
        <f aca="false">G20-H20</f>
        <v>0</v>
      </c>
    </row>
    <row r="21" customFormat="false" ht="15" hidden="false" customHeight="false" outlineLevel="0" collapsed="false">
      <c r="A21" s="9"/>
      <c r="B21" s="9"/>
      <c r="C21" s="22"/>
      <c r="D21" s="5" t="n">
        <f aca="false">IFERROR(VLOOKUP(B21,'كتالوج المنتجات والتسعير'!$A$7:$J$36,8,FALSE()),0)</f>
        <v>0</v>
      </c>
      <c r="E21" s="5" t="n">
        <f aca="false">IFERROR(VLOOKUP(B21,'كتالوج المنتجات والتسعير'!$A$7:$J$36,7,FALSE()),0)</f>
        <v>0</v>
      </c>
      <c r="F21" s="5" t="n">
        <f aca="false">IFERROR(VLOOKUP(B21,'كتالوج المنتجات والتسعير'!$A$7:$J$36,6,FALSE()),0)</f>
        <v>0</v>
      </c>
      <c r="G21" s="5" t="n">
        <f aca="false">C21*D21</f>
        <v>0</v>
      </c>
      <c r="H21" s="5" t="n">
        <f aca="false">C21*E21</f>
        <v>0</v>
      </c>
      <c r="I21" s="5" t="n">
        <f aca="false">C21*F21</f>
        <v>0</v>
      </c>
      <c r="J21" s="5" t="n">
        <f aca="false">G21-H21</f>
        <v>0</v>
      </c>
    </row>
    <row r="22" customFormat="false" ht="15" hidden="false" customHeight="false" outlineLevel="0" collapsed="false">
      <c r="A22" s="9"/>
      <c r="B22" s="9"/>
      <c r="C22" s="22"/>
      <c r="D22" s="5" t="n">
        <f aca="false">IFERROR(VLOOKUP(B22,'كتالوج المنتجات والتسعير'!$A$7:$J$36,8,FALSE()),0)</f>
        <v>0</v>
      </c>
      <c r="E22" s="5" t="n">
        <f aca="false">IFERROR(VLOOKUP(B22,'كتالوج المنتجات والتسعير'!$A$7:$J$36,7,FALSE()),0)</f>
        <v>0</v>
      </c>
      <c r="F22" s="5" t="n">
        <f aca="false">IFERROR(VLOOKUP(B22,'كتالوج المنتجات والتسعير'!$A$7:$J$36,6,FALSE()),0)</f>
        <v>0</v>
      </c>
      <c r="G22" s="5" t="n">
        <f aca="false">C22*D22</f>
        <v>0</v>
      </c>
      <c r="H22" s="5" t="n">
        <f aca="false">C22*E22</f>
        <v>0</v>
      </c>
      <c r="I22" s="5" t="n">
        <f aca="false">C22*F22</f>
        <v>0</v>
      </c>
      <c r="J22" s="5" t="n">
        <f aca="false">G22-H22</f>
        <v>0</v>
      </c>
    </row>
    <row r="23" customFormat="false" ht="15" hidden="false" customHeight="false" outlineLevel="0" collapsed="false">
      <c r="A23" s="9"/>
      <c r="B23" s="9"/>
      <c r="C23" s="22"/>
      <c r="D23" s="5" t="n">
        <f aca="false">IFERROR(VLOOKUP(B23,'كتالوج المنتجات والتسعير'!$A$7:$J$36,8,FALSE()),0)</f>
        <v>0</v>
      </c>
      <c r="E23" s="5" t="n">
        <f aca="false">IFERROR(VLOOKUP(B23,'كتالوج المنتجات والتسعير'!$A$7:$J$36,7,FALSE()),0)</f>
        <v>0</v>
      </c>
      <c r="F23" s="5" t="n">
        <f aca="false">IFERROR(VLOOKUP(B23,'كتالوج المنتجات والتسعير'!$A$7:$J$36,6,FALSE()),0)</f>
        <v>0</v>
      </c>
      <c r="G23" s="5" t="n">
        <f aca="false">C23*D23</f>
        <v>0</v>
      </c>
      <c r="H23" s="5" t="n">
        <f aca="false">C23*E23</f>
        <v>0</v>
      </c>
      <c r="I23" s="5" t="n">
        <f aca="false">C23*F23</f>
        <v>0</v>
      </c>
      <c r="J23" s="5" t="n">
        <f aca="false">G23-H23</f>
        <v>0</v>
      </c>
    </row>
    <row r="24" customFormat="false" ht="15" hidden="false" customHeight="false" outlineLevel="0" collapsed="false">
      <c r="A24" s="9"/>
      <c r="B24" s="9"/>
      <c r="C24" s="22"/>
      <c r="D24" s="5" t="n">
        <f aca="false">IFERROR(VLOOKUP(B24,'كتالوج المنتجات والتسعير'!$A$7:$J$36,8,FALSE()),0)</f>
        <v>0</v>
      </c>
      <c r="E24" s="5" t="n">
        <f aca="false">IFERROR(VLOOKUP(B24,'كتالوج المنتجات والتسعير'!$A$7:$J$36,7,FALSE()),0)</f>
        <v>0</v>
      </c>
      <c r="F24" s="5" t="n">
        <f aca="false">IFERROR(VLOOKUP(B24,'كتالوج المنتجات والتسعير'!$A$7:$J$36,6,FALSE()),0)</f>
        <v>0</v>
      </c>
      <c r="G24" s="5" t="n">
        <f aca="false">C24*D24</f>
        <v>0</v>
      </c>
      <c r="H24" s="5" t="n">
        <f aca="false">C24*E24</f>
        <v>0</v>
      </c>
      <c r="I24" s="5" t="n">
        <f aca="false">C24*F24</f>
        <v>0</v>
      </c>
      <c r="J24" s="5" t="n">
        <f aca="false">G24-H24</f>
        <v>0</v>
      </c>
    </row>
    <row r="25" customFormat="false" ht="15" hidden="false" customHeight="false" outlineLevel="0" collapsed="false">
      <c r="A25" s="9"/>
      <c r="B25" s="9"/>
      <c r="C25" s="22"/>
      <c r="D25" s="5" t="n">
        <f aca="false">IFERROR(VLOOKUP(B25,'كتالوج المنتجات والتسعير'!$A$7:$J$36,8,FALSE()),0)</f>
        <v>0</v>
      </c>
      <c r="E25" s="5" t="n">
        <f aca="false">IFERROR(VLOOKUP(B25,'كتالوج المنتجات والتسعير'!$A$7:$J$36,7,FALSE()),0)</f>
        <v>0</v>
      </c>
      <c r="F25" s="5" t="n">
        <f aca="false">IFERROR(VLOOKUP(B25,'كتالوج المنتجات والتسعير'!$A$7:$J$36,6,FALSE()),0)</f>
        <v>0</v>
      </c>
      <c r="G25" s="5" t="n">
        <f aca="false">C25*D25</f>
        <v>0</v>
      </c>
      <c r="H25" s="5" t="n">
        <f aca="false">C25*E25</f>
        <v>0</v>
      </c>
      <c r="I25" s="5" t="n">
        <f aca="false">C25*F25</f>
        <v>0</v>
      </c>
      <c r="J25" s="5" t="n">
        <f aca="false">G25-H25</f>
        <v>0</v>
      </c>
    </row>
    <row r="26" customFormat="false" ht="15" hidden="false" customHeight="false" outlineLevel="0" collapsed="false">
      <c r="A26" s="9"/>
      <c r="B26" s="9"/>
      <c r="C26" s="22"/>
      <c r="D26" s="5" t="n">
        <f aca="false">IFERROR(VLOOKUP(B26,'كتالوج المنتجات والتسعير'!$A$7:$J$36,8,FALSE()),0)</f>
        <v>0</v>
      </c>
      <c r="E26" s="5" t="n">
        <f aca="false">IFERROR(VLOOKUP(B26,'كتالوج المنتجات والتسعير'!$A$7:$J$36,7,FALSE()),0)</f>
        <v>0</v>
      </c>
      <c r="F26" s="5" t="n">
        <f aca="false">IFERROR(VLOOKUP(B26,'كتالوج المنتجات والتسعير'!$A$7:$J$36,6,FALSE()),0)</f>
        <v>0</v>
      </c>
      <c r="G26" s="5" t="n">
        <f aca="false">C26*D26</f>
        <v>0</v>
      </c>
      <c r="H26" s="5" t="n">
        <f aca="false">C26*E26</f>
        <v>0</v>
      </c>
      <c r="I26" s="5" t="n">
        <f aca="false">C26*F26</f>
        <v>0</v>
      </c>
      <c r="J26" s="5" t="n">
        <f aca="false">G26-H26</f>
        <v>0</v>
      </c>
    </row>
    <row r="27" customFormat="false" ht="15" hidden="false" customHeight="false" outlineLevel="0" collapsed="false">
      <c r="A27" s="9"/>
      <c r="B27" s="9"/>
      <c r="C27" s="22"/>
      <c r="D27" s="5" t="n">
        <f aca="false">IFERROR(VLOOKUP(B27,'كتالوج المنتجات والتسعير'!$A$7:$J$36,8,FALSE()),0)</f>
        <v>0</v>
      </c>
      <c r="E27" s="5" t="n">
        <f aca="false">IFERROR(VLOOKUP(B27,'كتالوج المنتجات والتسعير'!$A$7:$J$36,7,FALSE()),0)</f>
        <v>0</v>
      </c>
      <c r="F27" s="5" t="n">
        <f aca="false">IFERROR(VLOOKUP(B27,'كتالوج المنتجات والتسعير'!$A$7:$J$36,6,FALSE()),0)</f>
        <v>0</v>
      </c>
      <c r="G27" s="5" t="n">
        <f aca="false">C27*D27</f>
        <v>0</v>
      </c>
      <c r="H27" s="5" t="n">
        <f aca="false">C27*E27</f>
        <v>0</v>
      </c>
      <c r="I27" s="5" t="n">
        <f aca="false">C27*F27</f>
        <v>0</v>
      </c>
      <c r="J27" s="5" t="n">
        <f aca="false">G27-H27</f>
        <v>0</v>
      </c>
    </row>
    <row r="28" customFormat="false" ht="15" hidden="false" customHeight="false" outlineLevel="0" collapsed="false">
      <c r="A28" s="9"/>
      <c r="B28" s="9"/>
      <c r="C28" s="22"/>
      <c r="D28" s="5" t="n">
        <f aca="false">IFERROR(VLOOKUP(B28,'كتالوج المنتجات والتسعير'!$A$7:$J$36,8,FALSE()),0)</f>
        <v>0</v>
      </c>
      <c r="E28" s="5" t="n">
        <f aca="false">IFERROR(VLOOKUP(B28,'كتالوج المنتجات والتسعير'!$A$7:$J$36,7,FALSE()),0)</f>
        <v>0</v>
      </c>
      <c r="F28" s="5" t="n">
        <f aca="false">IFERROR(VLOOKUP(B28,'كتالوج المنتجات والتسعير'!$A$7:$J$36,6,FALSE()),0)</f>
        <v>0</v>
      </c>
      <c r="G28" s="5" t="n">
        <f aca="false">C28*D28</f>
        <v>0</v>
      </c>
      <c r="H28" s="5" t="n">
        <f aca="false">C28*E28</f>
        <v>0</v>
      </c>
      <c r="I28" s="5" t="n">
        <f aca="false">C28*F28</f>
        <v>0</v>
      </c>
      <c r="J28" s="5" t="n">
        <f aca="false">G28-H28</f>
        <v>0</v>
      </c>
    </row>
    <row r="29" customFormat="false" ht="15" hidden="false" customHeight="false" outlineLevel="0" collapsed="false">
      <c r="A29" s="9"/>
      <c r="B29" s="9"/>
      <c r="C29" s="22"/>
      <c r="D29" s="5" t="n">
        <f aca="false">IFERROR(VLOOKUP(B29,'كتالوج المنتجات والتسعير'!$A$7:$J$36,8,FALSE()),0)</f>
        <v>0</v>
      </c>
      <c r="E29" s="5" t="n">
        <f aca="false">IFERROR(VLOOKUP(B29,'كتالوج المنتجات والتسعير'!$A$7:$J$36,7,FALSE()),0)</f>
        <v>0</v>
      </c>
      <c r="F29" s="5" t="n">
        <f aca="false">IFERROR(VLOOKUP(B29,'كتالوج المنتجات والتسعير'!$A$7:$J$36,6,FALSE()),0)</f>
        <v>0</v>
      </c>
      <c r="G29" s="5" t="n">
        <f aca="false">C29*D29</f>
        <v>0</v>
      </c>
      <c r="H29" s="5" t="n">
        <f aca="false">C29*E29</f>
        <v>0</v>
      </c>
      <c r="I29" s="5" t="n">
        <f aca="false">C29*F29</f>
        <v>0</v>
      </c>
      <c r="J29" s="5" t="n">
        <f aca="false">G29-H29</f>
        <v>0</v>
      </c>
    </row>
    <row r="30" customFormat="false" ht="15" hidden="false" customHeight="false" outlineLevel="0" collapsed="false">
      <c r="A30" s="9"/>
      <c r="B30" s="9"/>
      <c r="C30" s="22"/>
      <c r="D30" s="5" t="n">
        <f aca="false">IFERROR(VLOOKUP(B30,'كتالوج المنتجات والتسعير'!$A$7:$J$36,8,FALSE()),0)</f>
        <v>0</v>
      </c>
      <c r="E30" s="5" t="n">
        <f aca="false">IFERROR(VLOOKUP(B30,'كتالوج المنتجات والتسعير'!$A$7:$J$36,7,FALSE()),0)</f>
        <v>0</v>
      </c>
      <c r="F30" s="5" t="n">
        <f aca="false">IFERROR(VLOOKUP(B30,'كتالوج المنتجات والتسعير'!$A$7:$J$36,6,FALSE()),0)</f>
        <v>0</v>
      </c>
      <c r="G30" s="5" t="n">
        <f aca="false">C30*D30</f>
        <v>0</v>
      </c>
      <c r="H30" s="5" t="n">
        <f aca="false">C30*E30</f>
        <v>0</v>
      </c>
      <c r="I30" s="5" t="n">
        <f aca="false">C30*F30</f>
        <v>0</v>
      </c>
      <c r="J30" s="5" t="n">
        <f aca="false">G30-H30</f>
        <v>0</v>
      </c>
    </row>
    <row r="31" customFormat="false" ht="15" hidden="false" customHeight="false" outlineLevel="0" collapsed="false">
      <c r="A31" s="9"/>
      <c r="B31" s="9"/>
      <c r="C31" s="22"/>
      <c r="D31" s="5" t="n">
        <f aca="false">IFERROR(VLOOKUP(B31,'كتالوج المنتجات والتسعير'!$A$7:$J$36,8,FALSE()),0)</f>
        <v>0</v>
      </c>
      <c r="E31" s="5" t="n">
        <f aca="false">IFERROR(VLOOKUP(B31,'كتالوج المنتجات والتسعير'!$A$7:$J$36,7,FALSE()),0)</f>
        <v>0</v>
      </c>
      <c r="F31" s="5" t="n">
        <f aca="false">IFERROR(VLOOKUP(B31,'كتالوج المنتجات والتسعير'!$A$7:$J$36,6,FALSE()),0)</f>
        <v>0</v>
      </c>
      <c r="G31" s="5" t="n">
        <f aca="false">C31*D31</f>
        <v>0</v>
      </c>
      <c r="H31" s="5" t="n">
        <f aca="false">C31*E31</f>
        <v>0</v>
      </c>
      <c r="I31" s="5" t="n">
        <f aca="false">C31*F31</f>
        <v>0</v>
      </c>
      <c r="J31" s="5" t="n">
        <f aca="false">G31-H31</f>
        <v>0</v>
      </c>
    </row>
    <row r="32" customFormat="false" ht="15" hidden="false" customHeight="false" outlineLevel="0" collapsed="false">
      <c r="A32" s="9"/>
      <c r="B32" s="9"/>
      <c r="C32" s="22"/>
      <c r="D32" s="5" t="n">
        <f aca="false">IFERROR(VLOOKUP(B32,'كتالوج المنتجات والتسعير'!$A$7:$J$36,8,FALSE()),0)</f>
        <v>0</v>
      </c>
      <c r="E32" s="5" t="n">
        <f aca="false">IFERROR(VLOOKUP(B32,'كتالوج المنتجات والتسعير'!$A$7:$J$36,7,FALSE()),0)</f>
        <v>0</v>
      </c>
      <c r="F32" s="5" t="n">
        <f aca="false">IFERROR(VLOOKUP(B32,'كتالوج المنتجات والتسعير'!$A$7:$J$36,6,FALSE()),0)</f>
        <v>0</v>
      </c>
      <c r="G32" s="5" t="n">
        <f aca="false">C32*D32</f>
        <v>0</v>
      </c>
      <c r="H32" s="5" t="n">
        <f aca="false">C32*E32</f>
        <v>0</v>
      </c>
      <c r="I32" s="5" t="n">
        <f aca="false">C32*F32</f>
        <v>0</v>
      </c>
      <c r="J32" s="5" t="n">
        <f aca="false">G32-H32</f>
        <v>0</v>
      </c>
    </row>
    <row r="33" customFormat="false" ht="15" hidden="false" customHeight="false" outlineLevel="0" collapsed="false">
      <c r="A33" s="9"/>
      <c r="B33" s="9"/>
      <c r="C33" s="22"/>
      <c r="D33" s="5" t="n">
        <f aca="false">IFERROR(VLOOKUP(B33,'كتالوج المنتجات والتسعير'!$A$7:$J$36,8,FALSE()),0)</f>
        <v>0</v>
      </c>
      <c r="E33" s="5" t="n">
        <f aca="false">IFERROR(VLOOKUP(B33,'كتالوج المنتجات والتسعير'!$A$7:$J$36,7,FALSE()),0)</f>
        <v>0</v>
      </c>
      <c r="F33" s="5" t="n">
        <f aca="false">IFERROR(VLOOKUP(B33,'كتالوج المنتجات والتسعير'!$A$7:$J$36,6,FALSE()),0)</f>
        <v>0</v>
      </c>
      <c r="G33" s="5" t="n">
        <f aca="false">C33*D33</f>
        <v>0</v>
      </c>
      <c r="H33" s="5" t="n">
        <f aca="false">C33*E33</f>
        <v>0</v>
      </c>
      <c r="I33" s="5" t="n">
        <f aca="false">C33*F33</f>
        <v>0</v>
      </c>
      <c r="J33" s="5" t="n">
        <f aca="false">G33-H33</f>
        <v>0</v>
      </c>
    </row>
    <row r="34" customFormat="false" ht="15" hidden="false" customHeight="false" outlineLevel="0" collapsed="false">
      <c r="A34" s="9"/>
      <c r="B34" s="9"/>
      <c r="C34" s="22"/>
      <c r="D34" s="5" t="n">
        <f aca="false">IFERROR(VLOOKUP(B34,'كتالوج المنتجات والتسعير'!$A$7:$J$36,8,FALSE()),0)</f>
        <v>0</v>
      </c>
      <c r="E34" s="5" t="n">
        <f aca="false">IFERROR(VLOOKUP(B34,'كتالوج المنتجات والتسعير'!$A$7:$J$36,7,FALSE()),0)</f>
        <v>0</v>
      </c>
      <c r="F34" s="5" t="n">
        <f aca="false">IFERROR(VLOOKUP(B34,'كتالوج المنتجات والتسعير'!$A$7:$J$36,6,FALSE()),0)</f>
        <v>0</v>
      </c>
      <c r="G34" s="5" t="n">
        <f aca="false">C34*D34</f>
        <v>0</v>
      </c>
      <c r="H34" s="5" t="n">
        <f aca="false">C34*E34</f>
        <v>0</v>
      </c>
      <c r="I34" s="5" t="n">
        <f aca="false">C34*F34</f>
        <v>0</v>
      </c>
      <c r="J34" s="5" t="n">
        <f aca="false">G34-H34</f>
        <v>0</v>
      </c>
    </row>
    <row r="35" customFormat="false" ht="15" hidden="false" customHeight="false" outlineLevel="0" collapsed="false">
      <c r="A35" s="9"/>
      <c r="B35" s="9"/>
      <c r="C35" s="22"/>
      <c r="D35" s="5" t="n">
        <f aca="false">IFERROR(VLOOKUP(B35,'كتالوج المنتجات والتسعير'!$A$7:$J$36,8,FALSE()),0)</f>
        <v>0</v>
      </c>
      <c r="E35" s="5" t="n">
        <f aca="false">IFERROR(VLOOKUP(B35,'كتالوج المنتجات والتسعير'!$A$7:$J$36,7,FALSE()),0)</f>
        <v>0</v>
      </c>
      <c r="F35" s="5" t="n">
        <f aca="false">IFERROR(VLOOKUP(B35,'كتالوج المنتجات والتسعير'!$A$7:$J$36,6,FALSE()),0)</f>
        <v>0</v>
      </c>
      <c r="G35" s="5" t="n">
        <f aca="false">C35*D35</f>
        <v>0</v>
      </c>
      <c r="H35" s="5" t="n">
        <f aca="false">C35*E35</f>
        <v>0</v>
      </c>
      <c r="I35" s="5" t="n">
        <f aca="false">C35*F35</f>
        <v>0</v>
      </c>
      <c r="J35" s="5" t="n">
        <f aca="false">G35-H35</f>
        <v>0</v>
      </c>
    </row>
    <row r="36" customFormat="false" ht="15" hidden="false" customHeight="false" outlineLevel="0" collapsed="false">
      <c r="A36" s="9"/>
      <c r="B36" s="9"/>
      <c r="C36" s="22"/>
      <c r="D36" s="5" t="n">
        <f aca="false">IFERROR(VLOOKUP(B36,'كتالوج المنتجات والتسعير'!$A$7:$J$36,8,FALSE()),0)</f>
        <v>0</v>
      </c>
      <c r="E36" s="5" t="n">
        <f aca="false">IFERROR(VLOOKUP(B36,'كتالوج المنتجات والتسعير'!$A$7:$J$36,7,FALSE()),0)</f>
        <v>0</v>
      </c>
      <c r="F36" s="5" t="n">
        <f aca="false">IFERROR(VLOOKUP(B36,'كتالوج المنتجات والتسعير'!$A$7:$J$36,6,FALSE()),0)</f>
        <v>0</v>
      </c>
      <c r="G36" s="5" t="n">
        <f aca="false">C36*D36</f>
        <v>0</v>
      </c>
      <c r="H36" s="5" t="n">
        <f aca="false">C36*E36</f>
        <v>0</v>
      </c>
      <c r="I36" s="5" t="n">
        <f aca="false">C36*F36</f>
        <v>0</v>
      </c>
      <c r="J36" s="5" t="n">
        <f aca="false">G36-H36</f>
        <v>0</v>
      </c>
    </row>
    <row r="37" customFormat="false" ht="15" hidden="false" customHeight="false" outlineLevel="0" collapsed="false">
      <c r="A37" s="9"/>
      <c r="B37" s="9"/>
      <c r="C37" s="22"/>
      <c r="D37" s="5" t="n">
        <f aca="false">IFERROR(VLOOKUP(B37,'كتالوج المنتجات والتسعير'!$A$7:$J$36,8,FALSE()),0)</f>
        <v>0</v>
      </c>
      <c r="E37" s="5" t="n">
        <f aca="false">IFERROR(VLOOKUP(B37,'كتالوج المنتجات والتسعير'!$A$7:$J$36,7,FALSE()),0)</f>
        <v>0</v>
      </c>
      <c r="F37" s="5" t="n">
        <f aca="false">IFERROR(VLOOKUP(B37,'كتالوج المنتجات والتسعير'!$A$7:$J$36,6,FALSE()),0)</f>
        <v>0</v>
      </c>
      <c r="G37" s="5" t="n">
        <f aca="false">C37*D37</f>
        <v>0</v>
      </c>
      <c r="H37" s="5" t="n">
        <f aca="false">C37*E37</f>
        <v>0</v>
      </c>
      <c r="I37" s="5" t="n">
        <f aca="false">C37*F37</f>
        <v>0</v>
      </c>
      <c r="J37" s="5" t="n">
        <f aca="false">G37-H37</f>
        <v>0</v>
      </c>
    </row>
    <row r="38" customFormat="false" ht="15" hidden="false" customHeight="false" outlineLevel="0" collapsed="false">
      <c r="A38" s="9"/>
      <c r="B38" s="9"/>
      <c r="C38" s="22"/>
      <c r="D38" s="5" t="n">
        <f aca="false">IFERROR(VLOOKUP(B38,'كتالوج المنتجات والتسعير'!$A$7:$J$36,8,FALSE()),0)</f>
        <v>0</v>
      </c>
      <c r="E38" s="5" t="n">
        <f aca="false">IFERROR(VLOOKUP(B38,'كتالوج المنتجات والتسعير'!$A$7:$J$36,7,FALSE()),0)</f>
        <v>0</v>
      </c>
      <c r="F38" s="5" t="n">
        <f aca="false">IFERROR(VLOOKUP(B38,'كتالوج المنتجات والتسعير'!$A$7:$J$36,6,FALSE()),0)</f>
        <v>0</v>
      </c>
      <c r="G38" s="5" t="n">
        <f aca="false">C38*D38</f>
        <v>0</v>
      </c>
      <c r="H38" s="5" t="n">
        <f aca="false">C38*E38</f>
        <v>0</v>
      </c>
      <c r="I38" s="5" t="n">
        <f aca="false">C38*F38</f>
        <v>0</v>
      </c>
      <c r="J38" s="5" t="n">
        <f aca="false">G38-H38</f>
        <v>0</v>
      </c>
    </row>
    <row r="39" customFormat="false" ht="15" hidden="false" customHeight="false" outlineLevel="0" collapsed="false">
      <c r="A39" s="9"/>
      <c r="B39" s="9"/>
      <c r="C39" s="22"/>
      <c r="D39" s="5" t="n">
        <f aca="false">IFERROR(VLOOKUP(B39,'كتالوج المنتجات والتسعير'!$A$7:$J$36,8,FALSE()),0)</f>
        <v>0</v>
      </c>
      <c r="E39" s="5" t="n">
        <f aca="false">IFERROR(VLOOKUP(B39,'كتالوج المنتجات والتسعير'!$A$7:$J$36,7,FALSE()),0)</f>
        <v>0</v>
      </c>
      <c r="F39" s="5" t="n">
        <f aca="false">IFERROR(VLOOKUP(B39,'كتالوج المنتجات والتسعير'!$A$7:$J$36,6,FALSE()),0)</f>
        <v>0</v>
      </c>
      <c r="G39" s="5" t="n">
        <f aca="false">C39*D39</f>
        <v>0</v>
      </c>
      <c r="H39" s="5" t="n">
        <f aca="false">C39*E39</f>
        <v>0</v>
      </c>
      <c r="I39" s="5" t="n">
        <f aca="false">C39*F39</f>
        <v>0</v>
      </c>
      <c r="J39" s="5" t="n">
        <f aca="false">G39-H39</f>
        <v>0</v>
      </c>
    </row>
    <row r="40" customFormat="false" ht="15" hidden="false" customHeight="false" outlineLevel="0" collapsed="false">
      <c r="A40" s="9"/>
      <c r="B40" s="9"/>
      <c r="C40" s="22"/>
      <c r="D40" s="5" t="n">
        <f aca="false">IFERROR(VLOOKUP(B40,'كتالوج المنتجات والتسعير'!$A$7:$J$36,8,FALSE()),0)</f>
        <v>0</v>
      </c>
      <c r="E40" s="5" t="n">
        <f aca="false">IFERROR(VLOOKUP(B40,'كتالوج المنتجات والتسعير'!$A$7:$J$36,7,FALSE()),0)</f>
        <v>0</v>
      </c>
      <c r="F40" s="5" t="n">
        <f aca="false">IFERROR(VLOOKUP(B40,'كتالوج المنتجات والتسعير'!$A$7:$J$36,6,FALSE()),0)</f>
        <v>0</v>
      </c>
      <c r="G40" s="5" t="n">
        <f aca="false">C40*D40</f>
        <v>0</v>
      </c>
      <c r="H40" s="5" t="n">
        <f aca="false">C40*E40</f>
        <v>0</v>
      </c>
      <c r="I40" s="5" t="n">
        <f aca="false">C40*F40</f>
        <v>0</v>
      </c>
      <c r="J40" s="5" t="n">
        <f aca="false">G40-H40</f>
        <v>0</v>
      </c>
    </row>
    <row r="41" customFormat="false" ht="15" hidden="false" customHeight="false" outlineLevel="0" collapsed="false">
      <c r="A41" s="9"/>
      <c r="B41" s="9"/>
      <c r="C41" s="22"/>
      <c r="D41" s="5" t="n">
        <f aca="false">IFERROR(VLOOKUP(B41,'كتالوج المنتجات والتسعير'!$A$7:$J$36,8,FALSE()),0)</f>
        <v>0</v>
      </c>
      <c r="E41" s="5" t="n">
        <f aca="false">IFERROR(VLOOKUP(B41,'كتالوج المنتجات والتسعير'!$A$7:$J$36,7,FALSE()),0)</f>
        <v>0</v>
      </c>
      <c r="F41" s="5" t="n">
        <f aca="false">IFERROR(VLOOKUP(B41,'كتالوج المنتجات والتسعير'!$A$7:$J$36,6,FALSE()),0)</f>
        <v>0</v>
      </c>
      <c r="G41" s="5" t="n">
        <f aca="false">C41*D41</f>
        <v>0</v>
      </c>
      <c r="H41" s="5" t="n">
        <f aca="false">C41*E41</f>
        <v>0</v>
      </c>
      <c r="I41" s="5" t="n">
        <f aca="false">C41*F41</f>
        <v>0</v>
      </c>
      <c r="J41" s="5" t="n">
        <f aca="false">G41-H41</f>
        <v>0</v>
      </c>
    </row>
    <row r="42" customFormat="false" ht="15" hidden="false" customHeight="false" outlineLevel="0" collapsed="false">
      <c r="A42" s="9"/>
      <c r="B42" s="9"/>
      <c r="C42" s="22"/>
      <c r="D42" s="5" t="n">
        <f aca="false">IFERROR(VLOOKUP(B42,'كتالوج المنتجات والتسعير'!$A$7:$J$36,8,FALSE()),0)</f>
        <v>0</v>
      </c>
      <c r="E42" s="5" t="n">
        <f aca="false">IFERROR(VLOOKUP(B42,'كتالوج المنتجات والتسعير'!$A$7:$J$36,7,FALSE()),0)</f>
        <v>0</v>
      </c>
      <c r="F42" s="5" t="n">
        <f aca="false">IFERROR(VLOOKUP(B42,'كتالوج المنتجات والتسعير'!$A$7:$J$36,6,FALSE()),0)</f>
        <v>0</v>
      </c>
      <c r="G42" s="5" t="n">
        <f aca="false">C42*D42</f>
        <v>0</v>
      </c>
      <c r="H42" s="5" t="n">
        <f aca="false">C42*E42</f>
        <v>0</v>
      </c>
      <c r="I42" s="5" t="n">
        <f aca="false">C42*F42</f>
        <v>0</v>
      </c>
      <c r="J42" s="5" t="n">
        <f aca="false">G42-H42</f>
        <v>0</v>
      </c>
    </row>
    <row r="43" customFormat="false" ht="15" hidden="false" customHeight="false" outlineLevel="0" collapsed="false">
      <c r="A43" s="9"/>
      <c r="B43" s="9"/>
      <c r="C43" s="22"/>
      <c r="D43" s="5" t="n">
        <f aca="false">IFERROR(VLOOKUP(B43,'كتالوج المنتجات والتسعير'!$A$7:$J$36,8,FALSE()),0)</f>
        <v>0</v>
      </c>
      <c r="E43" s="5" t="n">
        <f aca="false">IFERROR(VLOOKUP(B43,'كتالوج المنتجات والتسعير'!$A$7:$J$36,7,FALSE()),0)</f>
        <v>0</v>
      </c>
      <c r="F43" s="5" t="n">
        <f aca="false">IFERROR(VLOOKUP(B43,'كتالوج المنتجات والتسعير'!$A$7:$J$36,6,FALSE()),0)</f>
        <v>0</v>
      </c>
      <c r="G43" s="5" t="n">
        <f aca="false">C43*D43</f>
        <v>0</v>
      </c>
      <c r="H43" s="5" t="n">
        <f aca="false">C43*E43</f>
        <v>0</v>
      </c>
      <c r="I43" s="5" t="n">
        <f aca="false">C43*F43</f>
        <v>0</v>
      </c>
      <c r="J43" s="5" t="n">
        <f aca="false">G43-H43</f>
        <v>0</v>
      </c>
    </row>
    <row r="44" customFormat="false" ht="15" hidden="false" customHeight="false" outlineLevel="0" collapsed="false">
      <c r="A44" s="9"/>
      <c r="B44" s="9"/>
      <c r="C44" s="22"/>
      <c r="D44" s="5" t="n">
        <f aca="false">IFERROR(VLOOKUP(B44,'كتالوج المنتجات والتسعير'!$A$7:$J$36,8,FALSE()),0)</f>
        <v>0</v>
      </c>
      <c r="E44" s="5" t="n">
        <f aca="false">IFERROR(VLOOKUP(B44,'كتالوج المنتجات والتسعير'!$A$7:$J$36,7,FALSE()),0)</f>
        <v>0</v>
      </c>
      <c r="F44" s="5" t="n">
        <f aca="false">IFERROR(VLOOKUP(B44,'كتالوج المنتجات والتسعير'!$A$7:$J$36,6,FALSE()),0)</f>
        <v>0</v>
      </c>
      <c r="G44" s="5" t="n">
        <f aca="false">C44*D44</f>
        <v>0</v>
      </c>
      <c r="H44" s="5" t="n">
        <f aca="false">C44*E44</f>
        <v>0</v>
      </c>
      <c r="I44" s="5" t="n">
        <f aca="false">C44*F44</f>
        <v>0</v>
      </c>
      <c r="J44" s="5" t="n">
        <f aca="false">G44-H44</f>
        <v>0</v>
      </c>
    </row>
    <row r="45" customFormat="false" ht="15" hidden="false" customHeight="false" outlineLevel="0" collapsed="false">
      <c r="A45" s="9"/>
      <c r="B45" s="9"/>
      <c r="C45" s="22"/>
      <c r="D45" s="5" t="n">
        <f aca="false">IFERROR(VLOOKUP(B45,'كتالوج المنتجات والتسعير'!$A$7:$J$36,8,FALSE()),0)</f>
        <v>0</v>
      </c>
      <c r="E45" s="5" t="n">
        <f aca="false">IFERROR(VLOOKUP(B45,'كتالوج المنتجات والتسعير'!$A$7:$J$36,7,FALSE()),0)</f>
        <v>0</v>
      </c>
      <c r="F45" s="5" t="n">
        <f aca="false">IFERROR(VLOOKUP(B45,'كتالوج المنتجات والتسعير'!$A$7:$J$36,6,FALSE()),0)</f>
        <v>0</v>
      </c>
      <c r="G45" s="5" t="n">
        <f aca="false">C45*D45</f>
        <v>0</v>
      </c>
      <c r="H45" s="5" t="n">
        <f aca="false">C45*E45</f>
        <v>0</v>
      </c>
      <c r="I45" s="5" t="n">
        <f aca="false">C45*F45</f>
        <v>0</v>
      </c>
      <c r="J45" s="5" t="n">
        <f aca="false">G45-H45</f>
        <v>0</v>
      </c>
    </row>
    <row r="46" customFormat="false" ht="15" hidden="false" customHeight="false" outlineLevel="0" collapsed="false">
      <c r="A46" s="9"/>
      <c r="B46" s="9"/>
      <c r="C46" s="22"/>
      <c r="D46" s="5" t="n">
        <f aca="false">IFERROR(VLOOKUP(B46,'كتالوج المنتجات والتسعير'!$A$7:$J$36,8,FALSE()),0)</f>
        <v>0</v>
      </c>
      <c r="E46" s="5" t="n">
        <f aca="false">IFERROR(VLOOKUP(B46,'كتالوج المنتجات والتسعير'!$A$7:$J$36,7,FALSE()),0)</f>
        <v>0</v>
      </c>
      <c r="F46" s="5" t="n">
        <f aca="false">IFERROR(VLOOKUP(B46,'كتالوج المنتجات والتسعير'!$A$7:$J$36,6,FALSE()),0)</f>
        <v>0</v>
      </c>
      <c r="G46" s="5" t="n">
        <f aca="false">C46*D46</f>
        <v>0</v>
      </c>
      <c r="H46" s="5" t="n">
        <f aca="false">C46*E46</f>
        <v>0</v>
      </c>
      <c r="I46" s="5" t="n">
        <f aca="false">C46*F46</f>
        <v>0</v>
      </c>
      <c r="J46" s="5" t="n">
        <f aca="false">G46-H46</f>
        <v>0</v>
      </c>
    </row>
    <row r="47" customFormat="false" ht="15" hidden="false" customHeight="false" outlineLevel="0" collapsed="false">
      <c r="A47" s="9"/>
      <c r="B47" s="9"/>
      <c r="C47" s="22"/>
      <c r="D47" s="5" t="n">
        <f aca="false">IFERROR(VLOOKUP(B47,'كتالوج المنتجات والتسعير'!$A$7:$J$36,8,FALSE()),0)</f>
        <v>0</v>
      </c>
      <c r="E47" s="5" t="n">
        <f aca="false">IFERROR(VLOOKUP(B47,'كتالوج المنتجات والتسعير'!$A$7:$J$36,7,FALSE()),0)</f>
        <v>0</v>
      </c>
      <c r="F47" s="5" t="n">
        <f aca="false">IFERROR(VLOOKUP(B47,'كتالوج المنتجات والتسعير'!$A$7:$J$36,6,FALSE()),0)</f>
        <v>0</v>
      </c>
      <c r="G47" s="5" t="n">
        <f aca="false">C47*D47</f>
        <v>0</v>
      </c>
      <c r="H47" s="5" t="n">
        <f aca="false">C47*E47</f>
        <v>0</v>
      </c>
      <c r="I47" s="5" t="n">
        <f aca="false">C47*F47</f>
        <v>0</v>
      </c>
      <c r="J47" s="5" t="n">
        <f aca="false">G47-H47</f>
        <v>0</v>
      </c>
    </row>
    <row r="48" customFormat="false" ht="15" hidden="false" customHeight="false" outlineLevel="0" collapsed="false">
      <c r="A48" s="9"/>
      <c r="B48" s="9"/>
      <c r="C48" s="22"/>
      <c r="D48" s="5" t="n">
        <f aca="false">IFERROR(VLOOKUP(B48,'كتالوج المنتجات والتسعير'!$A$7:$J$36,8,FALSE()),0)</f>
        <v>0</v>
      </c>
      <c r="E48" s="5" t="n">
        <f aca="false">IFERROR(VLOOKUP(B48,'كتالوج المنتجات والتسعير'!$A$7:$J$36,7,FALSE()),0)</f>
        <v>0</v>
      </c>
      <c r="F48" s="5" t="n">
        <f aca="false">IFERROR(VLOOKUP(B48,'كتالوج المنتجات والتسعير'!$A$7:$J$36,6,FALSE()),0)</f>
        <v>0</v>
      </c>
      <c r="G48" s="5" t="n">
        <f aca="false">C48*D48</f>
        <v>0</v>
      </c>
      <c r="H48" s="5" t="n">
        <f aca="false">C48*E48</f>
        <v>0</v>
      </c>
      <c r="I48" s="5" t="n">
        <f aca="false">C48*F48</f>
        <v>0</v>
      </c>
      <c r="J48" s="5" t="n">
        <f aca="false">G48-H48</f>
        <v>0</v>
      </c>
    </row>
    <row r="49" customFormat="false" ht="15" hidden="false" customHeight="false" outlineLevel="0" collapsed="false">
      <c r="A49" s="9"/>
      <c r="B49" s="9"/>
      <c r="C49" s="22"/>
      <c r="D49" s="5" t="n">
        <f aca="false">IFERROR(VLOOKUP(B49,'كتالوج المنتجات والتسعير'!$A$7:$J$36,8,FALSE()),0)</f>
        <v>0</v>
      </c>
      <c r="E49" s="5" t="n">
        <f aca="false">IFERROR(VLOOKUP(B49,'كتالوج المنتجات والتسعير'!$A$7:$J$36,7,FALSE()),0)</f>
        <v>0</v>
      </c>
      <c r="F49" s="5" t="n">
        <f aca="false">IFERROR(VLOOKUP(B49,'كتالوج المنتجات والتسعير'!$A$7:$J$36,6,FALSE()),0)</f>
        <v>0</v>
      </c>
      <c r="G49" s="5" t="n">
        <f aca="false">C49*D49</f>
        <v>0</v>
      </c>
      <c r="H49" s="5" t="n">
        <f aca="false">C49*E49</f>
        <v>0</v>
      </c>
      <c r="I49" s="5" t="n">
        <f aca="false">C49*F49</f>
        <v>0</v>
      </c>
      <c r="J49" s="5" t="n">
        <f aca="false">G49-H49</f>
        <v>0</v>
      </c>
    </row>
    <row r="50" customFormat="false" ht="15" hidden="false" customHeight="false" outlineLevel="0" collapsed="false">
      <c r="A50" s="9"/>
      <c r="B50" s="9"/>
      <c r="C50" s="22"/>
      <c r="D50" s="5" t="n">
        <f aca="false">IFERROR(VLOOKUP(B50,'كتالوج المنتجات والتسعير'!$A$7:$J$36,8,FALSE()),0)</f>
        <v>0</v>
      </c>
      <c r="E50" s="5" t="n">
        <f aca="false">IFERROR(VLOOKUP(B50,'كتالوج المنتجات والتسعير'!$A$7:$J$36,7,FALSE()),0)</f>
        <v>0</v>
      </c>
      <c r="F50" s="5" t="n">
        <f aca="false">IFERROR(VLOOKUP(B50,'كتالوج المنتجات والتسعير'!$A$7:$J$36,6,FALSE()),0)</f>
        <v>0</v>
      </c>
      <c r="G50" s="5" t="n">
        <f aca="false">C50*D50</f>
        <v>0</v>
      </c>
      <c r="H50" s="5" t="n">
        <f aca="false">C50*E50</f>
        <v>0</v>
      </c>
      <c r="I50" s="5" t="n">
        <f aca="false">C50*F50</f>
        <v>0</v>
      </c>
      <c r="J50" s="5" t="n">
        <f aca="false">G50-H50</f>
        <v>0</v>
      </c>
    </row>
    <row r="51" customFormat="false" ht="15" hidden="false" customHeight="false" outlineLevel="0" collapsed="false">
      <c r="A51" s="9"/>
      <c r="B51" s="9"/>
      <c r="C51" s="22"/>
      <c r="D51" s="5" t="n">
        <f aca="false">IFERROR(VLOOKUP(B51,'كتالوج المنتجات والتسعير'!$A$7:$J$36,8,FALSE()),0)</f>
        <v>0</v>
      </c>
      <c r="E51" s="5" t="n">
        <f aca="false">IFERROR(VLOOKUP(B51,'كتالوج المنتجات والتسعير'!$A$7:$J$36,7,FALSE()),0)</f>
        <v>0</v>
      </c>
      <c r="F51" s="5" t="n">
        <f aca="false">IFERROR(VLOOKUP(B51,'كتالوج المنتجات والتسعير'!$A$7:$J$36,6,FALSE()),0)</f>
        <v>0</v>
      </c>
      <c r="G51" s="5" t="n">
        <f aca="false">C51*D51</f>
        <v>0</v>
      </c>
      <c r="H51" s="5" t="n">
        <f aca="false">C51*E51</f>
        <v>0</v>
      </c>
      <c r="I51" s="5" t="n">
        <f aca="false">C51*F51</f>
        <v>0</v>
      </c>
      <c r="J51" s="5" t="n">
        <f aca="false">G51-H51</f>
        <v>0</v>
      </c>
    </row>
    <row r="52" customFormat="false" ht="15" hidden="false" customHeight="false" outlineLevel="0" collapsed="false">
      <c r="A52" s="9"/>
      <c r="B52" s="9"/>
      <c r="C52" s="22"/>
      <c r="D52" s="5" t="n">
        <f aca="false">IFERROR(VLOOKUP(B52,'كتالوج المنتجات والتسعير'!$A$7:$J$36,8,FALSE()),0)</f>
        <v>0</v>
      </c>
      <c r="E52" s="5" t="n">
        <f aca="false">IFERROR(VLOOKUP(B52,'كتالوج المنتجات والتسعير'!$A$7:$J$36,7,FALSE()),0)</f>
        <v>0</v>
      </c>
      <c r="F52" s="5" t="n">
        <f aca="false">IFERROR(VLOOKUP(B52,'كتالوج المنتجات والتسعير'!$A$7:$J$36,6,FALSE()),0)</f>
        <v>0</v>
      </c>
      <c r="G52" s="5" t="n">
        <f aca="false">C52*D52</f>
        <v>0</v>
      </c>
      <c r="H52" s="5" t="n">
        <f aca="false">C52*E52</f>
        <v>0</v>
      </c>
      <c r="I52" s="5" t="n">
        <f aca="false">C52*F52</f>
        <v>0</v>
      </c>
      <c r="J52" s="5" t="n">
        <f aca="false">G52-H52</f>
        <v>0</v>
      </c>
    </row>
    <row r="53" customFormat="false" ht="15" hidden="false" customHeight="false" outlineLevel="0" collapsed="false">
      <c r="A53" s="9"/>
      <c r="B53" s="9"/>
      <c r="C53" s="22"/>
      <c r="D53" s="5" t="n">
        <f aca="false">IFERROR(VLOOKUP(B53,'كتالوج المنتجات والتسعير'!$A$7:$J$36,8,FALSE()),0)</f>
        <v>0</v>
      </c>
      <c r="E53" s="5" t="n">
        <f aca="false">IFERROR(VLOOKUP(B53,'كتالوج المنتجات والتسعير'!$A$7:$J$36,7,FALSE()),0)</f>
        <v>0</v>
      </c>
      <c r="F53" s="5" t="n">
        <f aca="false">IFERROR(VLOOKUP(B53,'كتالوج المنتجات والتسعير'!$A$7:$J$36,6,FALSE()),0)</f>
        <v>0</v>
      </c>
      <c r="G53" s="5" t="n">
        <f aca="false">C53*D53</f>
        <v>0</v>
      </c>
      <c r="H53" s="5" t="n">
        <f aca="false">C53*E53</f>
        <v>0</v>
      </c>
      <c r="I53" s="5" t="n">
        <f aca="false">C53*F53</f>
        <v>0</v>
      </c>
      <c r="J53" s="5" t="n">
        <f aca="false">G53-H53</f>
        <v>0</v>
      </c>
    </row>
    <row r="54" customFormat="false" ht="15" hidden="false" customHeight="false" outlineLevel="0" collapsed="false">
      <c r="A54" s="9"/>
      <c r="B54" s="9"/>
      <c r="C54" s="22"/>
      <c r="D54" s="5" t="n">
        <f aca="false">IFERROR(VLOOKUP(B54,'كتالوج المنتجات والتسعير'!$A$7:$J$36,8,FALSE()),0)</f>
        <v>0</v>
      </c>
      <c r="E54" s="5" t="n">
        <f aca="false">IFERROR(VLOOKUP(B54,'كتالوج المنتجات والتسعير'!$A$7:$J$36,7,FALSE()),0)</f>
        <v>0</v>
      </c>
      <c r="F54" s="5" t="n">
        <f aca="false">IFERROR(VLOOKUP(B54,'كتالوج المنتجات والتسعير'!$A$7:$J$36,6,FALSE()),0)</f>
        <v>0</v>
      </c>
      <c r="G54" s="5" t="n">
        <f aca="false">C54*D54</f>
        <v>0</v>
      </c>
      <c r="H54" s="5" t="n">
        <f aca="false">C54*E54</f>
        <v>0</v>
      </c>
      <c r="I54" s="5" t="n">
        <f aca="false">C54*F54</f>
        <v>0</v>
      </c>
      <c r="J54" s="5" t="n">
        <f aca="false">G54-H54</f>
        <v>0</v>
      </c>
    </row>
    <row r="55" customFormat="false" ht="15" hidden="false" customHeight="false" outlineLevel="0" collapsed="false">
      <c r="A55" s="9"/>
      <c r="B55" s="9"/>
      <c r="C55" s="22"/>
      <c r="D55" s="5" t="n">
        <f aca="false">IFERROR(VLOOKUP(B55,'كتالوج المنتجات والتسعير'!$A$7:$J$36,8,FALSE()),0)</f>
        <v>0</v>
      </c>
      <c r="E55" s="5" t="n">
        <f aca="false">IFERROR(VLOOKUP(B55,'كتالوج المنتجات والتسعير'!$A$7:$J$36,7,FALSE()),0)</f>
        <v>0</v>
      </c>
      <c r="F55" s="5" t="n">
        <f aca="false">IFERROR(VLOOKUP(B55,'كتالوج المنتجات والتسعير'!$A$7:$J$36,6,FALSE()),0)</f>
        <v>0</v>
      </c>
      <c r="G55" s="5" t="n">
        <f aca="false">C55*D55</f>
        <v>0</v>
      </c>
      <c r="H55" s="5" t="n">
        <f aca="false">C55*E55</f>
        <v>0</v>
      </c>
      <c r="I55" s="5" t="n">
        <f aca="false">C55*F55</f>
        <v>0</v>
      </c>
      <c r="J55" s="5" t="n">
        <f aca="false">G55-H55</f>
        <v>0</v>
      </c>
    </row>
    <row r="56" customFormat="false" ht="15" hidden="false" customHeight="false" outlineLevel="0" collapsed="false">
      <c r="A56" s="9"/>
      <c r="B56" s="9"/>
      <c r="C56" s="22"/>
      <c r="D56" s="5" t="n">
        <f aca="false">IFERROR(VLOOKUP(B56,'كتالوج المنتجات والتسعير'!$A$7:$J$36,8,FALSE()),0)</f>
        <v>0</v>
      </c>
      <c r="E56" s="5" t="n">
        <f aca="false">IFERROR(VLOOKUP(B56,'كتالوج المنتجات والتسعير'!$A$7:$J$36,7,FALSE()),0)</f>
        <v>0</v>
      </c>
      <c r="F56" s="5" t="n">
        <f aca="false">IFERROR(VLOOKUP(B56,'كتالوج المنتجات والتسعير'!$A$7:$J$36,6,FALSE()),0)</f>
        <v>0</v>
      </c>
      <c r="G56" s="5" t="n">
        <f aca="false">C56*D56</f>
        <v>0</v>
      </c>
      <c r="H56" s="5" t="n">
        <f aca="false">C56*E56</f>
        <v>0</v>
      </c>
      <c r="I56" s="5" t="n">
        <f aca="false">C56*F56</f>
        <v>0</v>
      </c>
      <c r="J56" s="5" t="n">
        <f aca="false">G56-H56</f>
        <v>0</v>
      </c>
    </row>
    <row r="57" customFormat="false" ht="15" hidden="false" customHeight="false" outlineLevel="0" collapsed="false">
      <c r="A57" s="9"/>
      <c r="B57" s="9"/>
      <c r="C57" s="22"/>
      <c r="D57" s="5" t="n">
        <f aca="false">IFERROR(VLOOKUP(B57,'كتالوج المنتجات والتسعير'!$A$7:$J$36,8,FALSE()),0)</f>
        <v>0</v>
      </c>
      <c r="E57" s="5" t="n">
        <f aca="false">IFERROR(VLOOKUP(B57,'كتالوج المنتجات والتسعير'!$A$7:$J$36,7,FALSE()),0)</f>
        <v>0</v>
      </c>
      <c r="F57" s="5" t="n">
        <f aca="false">IFERROR(VLOOKUP(B57,'كتالوج المنتجات والتسعير'!$A$7:$J$36,6,FALSE()),0)</f>
        <v>0</v>
      </c>
      <c r="G57" s="5" t="n">
        <f aca="false">C57*D57</f>
        <v>0</v>
      </c>
      <c r="H57" s="5" t="n">
        <f aca="false">C57*E57</f>
        <v>0</v>
      </c>
      <c r="I57" s="5" t="n">
        <f aca="false">C57*F57</f>
        <v>0</v>
      </c>
      <c r="J57" s="5" t="n">
        <f aca="false">G57-H57</f>
        <v>0</v>
      </c>
    </row>
    <row r="58" customFormat="false" ht="15" hidden="false" customHeight="false" outlineLevel="0" collapsed="false">
      <c r="A58" s="9"/>
      <c r="B58" s="9"/>
      <c r="C58" s="22"/>
      <c r="D58" s="5" t="n">
        <f aca="false">IFERROR(VLOOKUP(B58,'كتالوج المنتجات والتسعير'!$A$7:$J$36,8,FALSE()),0)</f>
        <v>0</v>
      </c>
      <c r="E58" s="5" t="n">
        <f aca="false">IFERROR(VLOOKUP(B58,'كتالوج المنتجات والتسعير'!$A$7:$J$36,7,FALSE()),0)</f>
        <v>0</v>
      </c>
      <c r="F58" s="5" t="n">
        <f aca="false">IFERROR(VLOOKUP(B58,'كتالوج المنتجات والتسعير'!$A$7:$J$36,6,FALSE()),0)</f>
        <v>0</v>
      </c>
      <c r="G58" s="5" t="n">
        <f aca="false">C58*D58</f>
        <v>0</v>
      </c>
      <c r="H58" s="5" t="n">
        <f aca="false">C58*E58</f>
        <v>0</v>
      </c>
      <c r="I58" s="5" t="n">
        <f aca="false">C58*F58</f>
        <v>0</v>
      </c>
      <c r="J58" s="5" t="n">
        <f aca="false">G58-H58</f>
        <v>0</v>
      </c>
    </row>
    <row r="59" customFormat="false" ht="15" hidden="false" customHeight="false" outlineLevel="0" collapsed="false">
      <c r="A59" s="9"/>
      <c r="B59" s="9"/>
      <c r="C59" s="22"/>
      <c r="D59" s="5" t="n">
        <f aca="false">IFERROR(VLOOKUP(B59,'كتالوج المنتجات والتسعير'!$A$7:$J$36,8,FALSE()),0)</f>
        <v>0</v>
      </c>
      <c r="E59" s="5" t="n">
        <f aca="false">IFERROR(VLOOKUP(B59,'كتالوج المنتجات والتسعير'!$A$7:$J$36,7,FALSE()),0)</f>
        <v>0</v>
      </c>
      <c r="F59" s="5" t="n">
        <f aca="false">IFERROR(VLOOKUP(B59,'كتالوج المنتجات والتسعير'!$A$7:$J$36,6,FALSE()),0)</f>
        <v>0</v>
      </c>
      <c r="G59" s="5" t="n">
        <f aca="false">C59*D59</f>
        <v>0</v>
      </c>
      <c r="H59" s="5" t="n">
        <f aca="false">C59*E59</f>
        <v>0</v>
      </c>
      <c r="I59" s="5" t="n">
        <f aca="false">C59*F59</f>
        <v>0</v>
      </c>
      <c r="J59" s="5" t="n">
        <f aca="false">G59-H59</f>
        <v>0</v>
      </c>
    </row>
    <row r="60" customFormat="false" ht="15" hidden="false" customHeight="false" outlineLevel="0" collapsed="false">
      <c r="A60" s="9"/>
      <c r="B60" s="9"/>
      <c r="C60" s="22"/>
      <c r="D60" s="5" t="n">
        <f aca="false">IFERROR(VLOOKUP(B60,'كتالوج المنتجات والتسعير'!$A$7:$J$36,8,FALSE()),0)</f>
        <v>0</v>
      </c>
      <c r="E60" s="5" t="n">
        <f aca="false">IFERROR(VLOOKUP(B60,'كتالوج المنتجات والتسعير'!$A$7:$J$36,7,FALSE()),0)</f>
        <v>0</v>
      </c>
      <c r="F60" s="5" t="n">
        <f aca="false">IFERROR(VLOOKUP(B60,'كتالوج المنتجات والتسعير'!$A$7:$J$36,6,FALSE()),0)</f>
        <v>0</v>
      </c>
      <c r="G60" s="5" t="n">
        <f aca="false">C60*D60</f>
        <v>0</v>
      </c>
      <c r="H60" s="5" t="n">
        <f aca="false">C60*E60</f>
        <v>0</v>
      </c>
      <c r="I60" s="5" t="n">
        <f aca="false">C60*F60</f>
        <v>0</v>
      </c>
      <c r="J60" s="5" t="n">
        <f aca="false">G60-H60</f>
        <v>0</v>
      </c>
    </row>
    <row r="61" customFormat="false" ht="15" hidden="false" customHeight="false" outlineLevel="0" collapsed="false">
      <c r="A61" s="9"/>
      <c r="B61" s="9"/>
      <c r="C61" s="22"/>
      <c r="D61" s="5" t="n">
        <f aca="false">IFERROR(VLOOKUP(B61,'كتالوج المنتجات والتسعير'!$A$7:$J$36,8,FALSE()),0)</f>
        <v>0</v>
      </c>
      <c r="E61" s="5" t="n">
        <f aca="false">IFERROR(VLOOKUP(B61,'كتالوج المنتجات والتسعير'!$A$7:$J$36,7,FALSE()),0)</f>
        <v>0</v>
      </c>
      <c r="F61" s="5" t="n">
        <f aca="false">IFERROR(VLOOKUP(B61,'كتالوج المنتجات والتسعير'!$A$7:$J$36,6,FALSE()),0)</f>
        <v>0</v>
      </c>
      <c r="G61" s="5" t="n">
        <f aca="false">C61*D61</f>
        <v>0</v>
      </c>
      <c r="H61" s="5" t="n">
        <f aca="false">C61*E61</f>
        <v>0</v>
      </c>
      <c r="I61" s="5" t="n">
        <f aca="false">C61*F61</f>
        <v>0</v>
      </c>
      <c r="J61" s="5" t="n">
        <f aca="false">G61-H61</f>
        <v>0</v>
      </c>
    </row>
    <row r="62" customFormat="false" ht="15" hidden="false" customHeight="false" outlineLevel="0" collapsed="false">
      <c r="A62" s="9"/>
      <c r="B62" s="9"/>
      <c r="C62" s="22"/>
      <c r="D62" s="5" t="n">
        <f aca="false">IFERROR(VLOOKUP(B62,'كتالوج المنتجات والتسعير'!$A$7:$J$36,8,FALSE()),0)</f>
        <v>0</v>
      </c>
      <c r="E62" s="5" t="n">
        <f aca="false">IFERROR(VLOOKUP(B62,'كتالوج المنتجات والتسعير'!$A$7:$J$36,7,FALSE()),0)</f>
        <v>0</v>
      </c>
      <c r="F62" s="5" t="n">
        <f aca="false">IFERROR(VLOOKUP(B62,'كتالوج المنتجات والتسعير'!$A$7:$J$36,6,FALSE()),0)</f>
        <v>0</v>
      </c>
      <c r="G62" s="5" t="n">
        <f aca="false">C62*D62</f>
        <v>0</v>
      </c>
      <c r="H62" s="5" t="n">
        <f aca="false">C62*E62</f>
        <v>0</v>
      </c>
      <c r="I62" s="5" t="n">
        <f aca="false">C62*F62</f>
        <v>0</v>
      </c>
      <c r="J62" s="5" t="n">
        <f aca="false">G62-H62</f>
        <v>0</v>
      </c>
    </row>
    <row r="63" customFormat="false" ht="15" hidden="false" customHeight="false" outlineLevel="0" collapsed="false">
      <c r="A63" s="9"/>
      <c r="B63" s="9"/>
      <c r="C63" s="22"/>
      <c r="D63" s="5" t="n">
        <f aca="false">IFERROR(VLOOKUP(B63,'كتالوج المنتجات والتسعير'!$A$7:$J$36,8,FALSE()),0)</f>
        <v>0</v>
      </c>
      <c r="E63" s="5" t="n">
        <f aca="false">IFERROR(VLOOKUP(B63,'كتالوج المنتجات والتسعير'!$A$7:$J$36,7,FALSE()),0)</f>
        <v>0</v>
      </c>
      <c r="F63" s="5" t="n">
        <f aca="false">IFERROR(VLOOKUP(B63,'كتالوج المنتجات والتسعير'!$A$7:$J$36,6,FALSE()),0)</f>
        <v>0</v>
      </c>
      <c r="G63" s="5" t="n">
        <f aca="false">C63*D63</f>
        <v>0</v>
      </c>
      <c r="H63" s="5" t="n">
        <f aca="false">C63*E63</f>
        <v>0</v>
      </c>
      <c r="I63" s="5" t="n">
        <f aca="false">C63*F63</f>
        <v>0</v>
      </c>
      <c r="J63" s="5" t="n">
        <f aca="false">G63-H63</f>
        <v>0</v>
      </c>
    </row>
    <row r="64" customFormat="false" ht="15" hidden="false" customHeight="false" outlineLevel="0" collapsed="false">
      <c r="A64" s="9"/>
      <c r="B64" s="9"/>
      <c r="C64" s="22"/>
      <c r="D64" s="5" t="n">
        <f aca="false">IFERROR(VLOOKUP(B64,'كتالوج المنتجات والتسعير'!$A$7:$J$36,8,FALSE()),0)</f>
        <v>0</v>
      </c>
      <c r="E64" s="5" t="n">
        <f aca="false">IFERROR(VLOOKUP(B64,'كتالوج المنتجات والتسعير'!$A$7:$J$36,7,FALSE()),0)</f>
        <v>0</v>
      </c>
      <c r="F64" s="5" t="n">
        <f aca="false">IFERROR(VLOOKUP(B64,'كتالوج المنتجات والتسعير'!$A$7:$J$36,6,FALSE()),0)</f>
        <v>0</v>
      </c>
      <c r="G64" s="5" t="n">
        <f aca="false">C64*D64</f>
        <v>0</v>
      </c>
      <c r="H64" s="5" t="n">
        <f aca="false">C64*E64</f>
        <v>0</v>
      </c>
      <c r="I64" s="5" t="n">
        <f aca="false">C64*F64</f>
        <v>0</v>
      </c>
      <c r="J64" s="5" t="n">
        <f aca="false">G64-H64</f>
        <v>0</v>
      </c>
    </row>
    <row r="65" customFormat="false" ht="15" hidden="false" customHeight="false" outlineLevel="0" collapsed="false">
      <c r="A65" s="9"/>
      <c r="B65" s="9"/>
      <c r="C65" s="22"/>
      <c r="D65" s="5" t="n">
        <f aca="false">IFERROR(VLOOKUP(B65,'كتالوج المنتجات والتسعير'!$A$7:$J$36,8,FALSE()),0)</f>
        <v>0</v>
      </c>
      <c r="E65" s="5" t="n">
        <f aca="false">IFERROR(VLOOKUP(B65,'كتالوج المنتجات والتسعير'!$A$7:$J$36,7,FALSE()),0)</f>
        <v>0</v>
      </c>
      <c r="F65" s="5" t="n">
        <f aca="false">IFERROR(VLOOKUP(B65,'كتالوج المنتجات والتسعير'!$A$7:$J$36,6,FALSE()),0)</f>
        <v>0</v>
      </c>
      <c r="G65" s="5" t="n">
        <f aca="false">C65*D65</f>
        <v>0</v>
      </c>
      <c r="H65" s="5" t="n">
        <f aca="false">C65*E65</f>
        <v>0</v>
      </c>
      <c r="I65" s="5" t="n">
        <f aca="false">C65*F65</f>
        <v>0</v>
      </c>
      <c r="J65" s="5" t="n">
        <f aca="false">G65-H65</f>
        <v>0</v>
      </c>
    </row>
    <row r="66" customFormat="false" ht="15" hidden="false" customHeight="false" outlineLevel="0" collapsed="false">
      <c r="A66" s="9"/>
      <c r="B66" s="9"/>
      <c r="C66" s="22"/>
      <c r="D66" s="5" t="n">
        <f aca="false">IFERROR(VLOOKUP(B66,'كتالوج المنتجات والتسعير'!$A$7:$J$36,8,FALSE()),0)</f>
        <v>0</v>
      </c>
      <c r="E66" s="5" t="n">
        <f aca="false">IFERROR(VLOOKUP(B66,'كتالوج المنتجات والتسعير'!$A$7:$J$36,7,FALSE()),0)</f>
        <v>0</v>
      </c>
      <c r="F66" s="5" t="n">
        <f aca="false">IFERROR(VLOOKUP(B66,'كتالوج المنتجات والتسعير'!$A$7:$J$36,6,FALSE()),0)</f>
        <v>0</v>
      </c>
      <c r="G66" s="5" t="n">
        <f aca="false">C66*D66</f>
        <v>0</v>
      </c>
      <c r="H66" s="5" t="n">
        <f aca="false">C66*E66</f>
        <v>0</v>
      </c>
      <c r="I66" s="5" t="n">
        <f aca="false">C66*F66</f>
        <v>0</v>
      </c>
      <c r="J66" s="5" t="n">
        <f aca="false">G66-H66</f>
        <v>0</v>
      </c>
    </row>
    <row r="67" customFormat="false" ht="15" hidden="false" customHeight="false" outlineLevel="0" collapsed="false">
      <c r="A67" s="9"/>
      <c r="B67" s="9"/>
      <c r="C67" s="22"/>
      <c r="D67" s="5" t="n">
        <f aca="false">IFERROR(VLOOKUP(B67,'كتالوج المنتجات والتسعير'!$A$7:$J$36,8,FALSE()),0)</f>
        <v>0</v>
      </c>
      <c r="E67" s="5" t="n">
        <f aca="false">IFERROR(VLOOKUP(B67,'كتالوج المنتجات والتسعير'!$A$7:$J$36,7,FALSE()),0)</f>
        <v>0</v>
      </c>
      <c r="F67" s="5" t="n">
        <f aca="false">IFERROR(VLOOKUP(B67,'كتالوج المنتجات والتسعير'!$A$7:$J$36,6,FALSE()),0)</f>
        <v>0</v>
      </c>
      <c r="G67" s="5" t="n">
        <f aca="false">C67*D67</f>
        <v>0</v>
      </c>
      <c r="H67" s="5" t="n">
        <f aca="false">C67*E67</f>
        <v>0</v>
      </c>
      <c r="I67" s="5" t="n">
        <f aca="false">C67*F67</f>
        <v>0</v>
      </c>
      <c r="J67" s="5" t="n">
        <f aca="false">G67-H67</f>
        <v>0</v>
      </c>
    </row>
    <row r="68" customFormat="false" ht="15" hidden="false" customHeight="false" outlineLevel="0" collapsed="false">
      <c r="A68" s="9"/>
      <c r="B68" s="9"/>
      <c r="C68" s="22"/>
      <c r="D68" s="5" t="n">
        <f aca="false">IFERROR(VLOOKUP(B68,'كتالوج المنتجات والتسعير'!$A$7:$J$36,8,FALSE()),0)</f>
        <v>0</v>
      </c>
      <c r="E68" s="5" t="n">
        <f aca="false">IFERROR(VLOOKUP(B68,'كتالوج المنتجات والتسعير'!$A$7:$J$36,7,FALSE()),0)</f>
        <v>0</v>
      </c>
      <c r="F68" s="5" t="n">
        <f aca="false">IFERROR(VLOOKUP(B68,'كتالوج المنتجات والتسعير'!$A$7:$J$36,6,FALSE()),0)</f>
        <v>0</v>
      </c>
      <c r="G68" s="5" t="n">
        <f aca="false">C68*D68</f>
        <v>0</v>
      </c>
      <c r="H68" s="5" t="n">
        <f aca="false">C68*E68</f>
        <v>0</v>
      </c>
      <c r="I68" s="5" t="n">
        <f aca="false">C68*F68</f>
        <v>0</v>
      </c>
      <c r="J68" s="5" t="n">
        <f aca="false">G68-H68</f>
        <v>0</v>
      </c>
    </row>
    <row r="69" customFormat="false" ht="15" hidden="false" customHeight="false" outlineLevel="0" collapsed="false">
      <c r="A69" s="9"/>
      <c r="B69" s="9"/>
      <c r="C69" s="22"/>
      <c r="D69" s="5" t="n">
        <f aca="false">IFERROR(VLOOKUP(B69,'كتالوج المنتجات والتسعير'!$A$7:$J$36,8,FALSE()),0)</f>
        <v>0</v>
      </c>
      <c r="E69" s="5" t="n">
        <f aca="false">IFERROR(VLOOKUP(B69,'كتالوج المنتجات والتسعير'!$A$7:$J$36,7,FALSE()),0)</f>
        <v>0</v>
      </c>
      <c r="F69" s="5" t="n">
        <f aca="false">IFERROR(VLOOKUP(B69,'كتالوج المنتجات والتسعير'!$A$7:$J$36,6,FALSE()),0)</f>
        <v>0</v>
      </c>
      <c r="G69" s="5" t="n">
        <f aca="false">C69*D69</f>
        <v>0</v>
      </c>
      <c r="H69" s="5" t="n">
        <f aca="false">C69*E69</f>
        <v>0</v>
      </c>
      <c r="I69" s="5" t="n">
        <f aca="false">C69*F69</f>
        <v>0</v>
      </c>
      <c r="J69" s="5" t="n">
        <f aca="false">G69-H69</f>
        <v>0</v>
      </c>
    </row>
    <row r="70" customFormat="false" ht="15" hidden="false" customHeight="false" outlineLevel="0" collapsed="false">
      <c r="A70" s="9"/>
      <c r="B70" s="9"/>
      <c r="C70" s="22"/>
      <c r="D70" s="5" t="n">
        <f aca="false">IFERROR(VLOOKUP(B70,'كتالوج المنتجات والتسعير'!$A$7:$J$36,8,FALSE()),0)</f>
        <v>0</v>
      </c>
      <c r="E70" s="5" t="n">
        <f aca="false">IFERROR(VLOOKUP(B70,'كتالوج المنتجات والتسعير'!$A$7:$J$36,7,FALSE()),0)</f>
        <v>0</v>
      </c>
      <c r="F70" s="5" t="n">
        <f aca="false">IFERROR(VLOOKUP(B70,'كتالوج المنتجات والتسعير'!$A$7:$J$36,6,FALSE()),0)</f>
        <v>0</v>
      </c>
      <c r="G70" s="5" t="n">
        <f aca="false">C70*D70</f>
        <v>0</v>
      </c>
      <c r="H70" s="5" t="n">
        <f aca="false">C70*E70</f>
        <v>0</v>
      </c>
      <c r="I70" s="5" t="n">
        <f aca="false">C70*F70</f>
        <v>0</v>
      </c>
      <c r="J70" s="5" t="n">
        <f aca="false">G70-H70</f>
        <v>0</v>
      </c>
    </row>
    <row r="71" customFormat="false" ht="15" hidden="false" customHeight="false" outlineLevel="0" collapsed="false">
      <c r="A71" s="9"/>
      <c r="B71" s="9"/>
      <c r="C71" s="22"/>
      <c r="D71" s="5" t="n">
        <f aca="false">IFERROR(VLOOKUP(B71,'كتالوج المنتجات والتسعير'!$A$7:$J$36,8,FALSE()),0)</f>
        <v>0</v>
      </c>
      <c r="E71" s="5" t="n">
        <f aca="false">IFERROR(VLOOKUP(B71,'كتالوج المنتجات والتسعير'!$A$7:$J$36,7,FALSE()),0)</f>
        <v>0</v>
      </c>
      <c r="F71" s="5" t="n">
        <f aca="false">IFERROR(VLOOKUP(B71,'كتالوج المنتجات والتسعير'!$A$7:$J$36,6,FALSE()),0)</f>
        <v>0</v>
      </c>
      <c r="G71" s="5" t="n">
        <f aca="false">C71*D71</f>
        <v>0</v>
      </c>
      <c r="H71" s="5" t="n">
        <f aca="false">C71*E71</f>
        <v>0</v>
      </c>
      <c r="I71" s="5" t="n">
        <f aca="false">C71*F71</f>
        <v>0</v>
      </c>
      <c r="J71" s="5" t="n">
        <f aca="false">G71-H71</f>
        <v>0</v>
      </c>
    </row>
    <row r="72" customFormat="false" ht="15" hidden="false" customHeight="false" outlineLevel="0" collapsed="false">
      <c r="A72" s="9"/>
      <c r="B72" s="9"/>
      <c r="C72" s="22"/>
      <c r="D72" s="5" t="n">
        <f aca="false">IFERROR(VLOOKUP(B72,'كتالوج المنتجات والتسعير'!$A$7:$J$36,8,FALSE()),0)</f>
        <v>0</v>
      </c>
      <c r="E72" s="5" t="n">
        <f aca="false">IFERROR(VLOOKUP(B72,'كتالوج المنتجات والتسعير'!$A$7:$J$36,7,FALSE()),0)</f>
        <v>0</v>
      </c>
      <c r="F72" s="5" t="n">
        <f aca="false">IFERROR(VLOOKUP(B72,'كتالوج المنتجات والتسعير'!$A$7:$J$36,6,FALSE()),0)</f>
        <v>0</v>
      </c>
      <c r="G72" s="5" t="n">
        <f aca="false">C72*D72</f>
        <v>0</v>
      </c>
      <c r="H72" s="5" t="n">
        <f aca="false">C72*E72</f>
        <v>0</v>
      </c>
      <c r="I72" s="5" t="n">
        <f aca="false">C72*F72</f>
        <v>0</v>
      </c>
      <c r="J72" s="5" t="n">
        <f aca="false">G72-H72</f>
        <v>0</v>
      </c>
    </row>
    <row r="73" customFormat="false" ht="15" hidden="false" customHeight="false" outlineLevel="0" collapsed="false">
      <c r="A73" s="9"/>
      <c r="B73" s="9"/>
      <c r="C73" s="22"/>
      <c r="D73" s="5" t="n">
        <f aca="false">IFERROR(VLOOKUP(B73,'كتالوج المنتجات والتسعير'!$A$7:$J$36,8,FALSE()),0)</f>
        <v>0</v>
      </c>
      <c r="E73" s="5" t="n">
        <f aca="false">IFERROR(VLOOKUP(B73,'كتالوج المنتجات والتسعير'!$A$7:$J$36,7,FALSE()),0)</f>
        <v>0</v>
      </c>
      <c r="F73" s="5" t="n">
        <f aca="false">IFERROR(VLOOKUP(B73,'كتالوج المنتجات والتسعير'!$A$7:$J$36,6,FALSE()),0)</f>
        <v>0</v>
      </c>
      <c r="G73" s="5" t="n">
        <f aca="false">C73*D73</f>
        <v>0</v>
      </c>
      <c r="H73" s="5" t="n">
        <f aca="false">C73*E73</f>
        <v>0</v>
      </c>
      <c r="I73" s="5" t="n">
        <f aca="false">C73*F73</f>
        <v>0</v>
      </c>
      <c r="J73" s="5" t="n">
        <f aca="false">G73-H73</f>
        <v>0</v>
      </c>
    </row>
    <row r="74" customFormat="false" ht="15" hidden="false" customHeight="false" outlineLevel="0" collapsed="false">
      <c r="A74" s="9"/>
      <c r="B74" s="9"/>
      <c r="C74" s="22"/>
      <c r="D74" s="5" t="n">
        <f aca="false">IFERROR(VLOOKUP(B74,'كتالوج المنتجات والتسعير'!$A$7:$J$36,8,FALSE()),0)</f>
        <v>0</v>
      </c>
      <c r="E74" s="5" t="n">
        <f aca="false">IFERROR(VLOOKUP(B74,'كتالوج المنتجات والتسعير'!$A$7:$J$36,7,FALSE()),0)</f>
        <v>0</v>
      </c>
      <c r="F74" s="5" t="n">
        <f aca="false">IFERROR(VLOOKUP(B74,'كتالوج المنتجات والتسعير'!$A$7:$J$36,6,FALSE()),0)</f>
        <v>0</v>
      </c>
      <c r="G74" s="5" t="n">
        <f aca="false">C74*D74</f>
        <v>0</v>
      </c>
      <c r="H74" s="5" t="n">
        <f aca="false">C74*E74</f>
        <v>0</v>
      </c>
      <c r="I74" s="5" t="n">
        <f aca="false">C74*F74</f>
        <v>0</v>
      </c>
      <c r="J74" s="5" t="n">
        <f aca="false">G74-H74</f>
        <v>0</v>
      </c>
    </row>
    <row r="75" customFormat="false" ht="15" hidden="false" customHeight="false" outlineLevel="0" collapsed="false">
      <c r="A75" s="9"/>
      <c r="B75" s="9"/>
      <c r="C75" s="22"/>
      <c r="D75" s="5" t="n">
        <f aca="false">IFERROR(VLOOKUP(B75,'كتالوج المنتجات والتسعير'!$A$7:$J$36,8,FALSE()),0)</f>
        <v>0</v>
      </c>
      <c r="E75" s="5" t="n">
        <f aca="false">IFERROR(VLOOKUP(B75,'كتالوج المنتجات والتسعير'!$A$7:$J$36,7,FALSE()),0)</f>
        <v>0</v>
      </c>
      <c r="F75" s="5" t="n">
        <f aca="false">IFERROR(VLOOKUP(B75,'كتالوج المنتجات والتسعير'!$A$7:$J$36,6,FALSE()),0)</f>
        <v>0</v>
      </c>
      <c r="G75" s="5" t="n">
        <f aca="false">C75*D75</f>
        <v>0</v>
      </c>
      <c r="H75" s="5" t="n">
        <f aca="false">C75*E75</f>
        <v>0</v>
      </c>
      <c r="I75" s="5" t="n">
        <f aca="false">C75*F75</f>
        <v>0</v>
      </c>
      <c r="J75" s="5" t="n">
        <f aca="false">G75-H75</f>
        <v>0</v>
      </c>
    </row>
    <row r="76" customFormat="false" ht="15" hidden="false" customHeight="false" outlineLevel="0" collapsed="false">
      <c r="A76" s="9"/>
      <c r="B76" s="9"/>
      <c r="C76" s="22"/>
      <c r="D76" s="5" t="n">
        <f aca="false">IFERROR(VLOOKUP(B76,'كتالوج المنتجات والتسعير'!$A$7:$J$36,8,FALSE()),0)</f>
        <v>0</v>
      </c>
      <c r="E76" s="5" t="n">
        <f aca="false">IFERROR(VLOOKUP(B76,'كتالوج المنتجات والتسعير'!$A$7:$J$36,7,FALSE()),0)</f>
        <v>0</v>
      </c>
      <c r="F76" s="5" t="n">
        <f aca="false">IFERROR(VLOOKUP(B76,'كتالوج المنتجات والتسعير'!$A$7:$J$36,6,FALSE()),0)</f>
        <v>0</v>
      </c>
      <c r="G76" s="5" t="n">
        <f aca="false">C76*D76</f>
        <v>0</v>
      </c>
      <c r="H76" s="5" t="n">
        <f aca="false">C76*E76</f>
        <v>0</v>
      </c>
      <c r="I76" s="5" t="n">
        <f aca="false">C76*F76</f>
        <v>0</v>
      </c>
      <c r="J76" s="5" t="n">
        <f aca="false">G76-H76</f>
        <v>0</v>
      </c>
    </row>
    <row r="77" customFormat="false" ht="15" hidden="false" customHeight="false" outlineLevel="0" collapsed="false">
      <c r="A77" s="9"/>
      <c r="B77" s="9"/>
      <c r="C77" s="22"/>
      <c r="D77" s="5" t="n">
        <f aca="false">IFERROR(VLOOKUP(B77,'كتالوج المنتجات والتسعير'!$A$7:$J$36,8,FALSE()),0)</f>
        <v>0</v>
      </c>
      <c r="E77" s="5" t="n">
        <f aca="false">IFERROR(VLOOKUP(B77,'كتالوج المنتجات والتسعير'!$A$7:$J$36,7,FALSE()),0)</f>
        <v>0</v>
      </c>
      <c r="F77" s="5" t="n">
        <f aca="false">IFERROR(VLOOKUP(B77,'كتالوج المنتجات والتسعير'!$A$7:$J$36,6,FALSE()),0)</f>
        <v>0</v>
      </c>
      <c r="G77" s="5" t="n">
        <f aca="false">C77*D77</f>
        <v>0</v>
      </c>
      <c r="H77" s="5" t="n">
        <f aca="false">C77*E77</f>
        <v>0</v>
      </c>
      <c r="I77" s="5" t="n">
        <f aca="false">C77*F77</f>
        <v>0</v>
      </c>
      <c r="J77" s="5" t="n">
        <f aca="false">G77-H77</f>
        <v>0</v>
      </c>
    </row>
    <row r="78" customFormat="false" ht="15" hidden="false" customHeight="false" outlineLevel="0" collapsed="false">
      <c r="A78" s="9"/>
      <c r="B78" s="9"/>
      <c r="C78" s="22"/>
      <c r="D78" s="5" t="n">
        <f aca="false">IFERROR(VLOOKUP(B78,'كتالوج المنتجات والتسعير'!$A$7:$J$36,8,FALSE()),0)</f>
        <v>0</v>
      </c>
      <c r="E78" s="5" t="n">
        <f aca="false">IFERROR(VLOOKUP(B78,'كتالوج المنتجات والتسعير'!$A$7:$J$36,7,FALSE()),0)</f>
        <v>0</v>
      </c>
      <c r="F78" s="5" t="n">
        <f aca="false">IFERROR(VLOOKUP(B78,'كتالوج المنتجات والتسعير'!$A$7:$J$36,6,FALSE()),0)</f>
        <v>0</v>
      </c>
      <c r="G78" s="5" t="n">
        <f aca="false">C78*D78</f>
        <v>0</v>
      </c>
      <c r="H78" s="5" t="n">
        <f aca="false">C78*E78</f>
        <v>0</v>
      </c>
      <c r="I78" s="5" t="n">
        <f aca="false">C78*F78</f>
        <v>0</v>
      </c>
      <c r="J78" s="5" t="n">
        <f aca="false">G78-H78</f>
        <v>0</v>
      </c>
    </row>
    <row r="79" customFormat="false" ht="15" hidden="false" customHeight="false" outlineLevel="0" collapsed="false">
      <c r="A79" s="9"/>
      <c r="B79" s="9"/>
      <c r="C79" s="22"/>
      <c r="D79" s="5" t="n">
        <f aca="false">IFERROR(VLOOKUP(B79,'كتالوج المنتجات والتسعير'!$A$7:$J$36,8,FALSE()),0)</f>
        <v>0</v>
      </c>
      <c r="E79" s="5" t="n">
        <f aca="false">IFERROR(VLOOKUP(B79,'كتالوج المنتجات والتسعير'!$A$7:$J$36,7,FALSE()),0)</f>
        <v>0</v>
      </c>
      <c r="F79" s="5" t="n">
        <f aca="false">IFERROR(VLOOKUP(B79,'كتالوج المنتجات والتسعير'!$A$7:$J$36,6,FALSE()),0)</f>
        <v>0</v>
      </c>
      <c r="G79" s="5" t="n">
        <f aca="false">C79*D79</f>
        <v>0</v>
      </c>
      <c r="H79" s="5" t="n">
        <f aca="false">C79*E79</f>
        <v>0</v>
      </c>
      <c r="I79" s="5" t="n">
        <f aca="false">C79*F79</f>
        <v>0</v>
      </c>
      <c r="J79" s="5" t="n">
        <f aca="false">G79-H79</f>
        <v>0</v>
      </c>
    </row>
    <row r="80" customFormat="false" ht="15" hidden="false" customHeight="false" outlineLevel="0" collapsed="false">
      <c r="A80" s="9"/>
      <c r="B80" s="9"/>
      <c r="C80" s="22"/>
      <c r="D80" s="5" t="n">
        <f aca="false">IFERROR(VLOOKUP(B80,'كتالوج المنتجات والتسعير'!$A$7:$J$36,8,FALSE()),0)</f>
        <v>0</v>
      </c>
      <c r="E80" s="5" t="n">
        <f aca="false">IFERROR(VLOOKUP(B80,'كتالوج المنتجات والتسعير'!$A$7:$J$36,7,FALSE()),0)</f>
        <v>0</v>
      </c>
      <c r="F80" s="5" t="n">
        <f aca="false">IFERROR(VLOOKUP(B80,'كتالوج المنتجات والتسعير'!$A$7:$J$36,6,FALSE()),0)</f>
        <v>0</v>
      </c>
      <c r="G80" s="5" t="n">
        <f aca="false">C80*D80</f>
        <v>0</v>
      </c>
      <c r="H80" s="5" t="n">
        <f aca="false">C80*E80</f>
        <v>0</v>
      </c>
      <c r="I80" s="5" t="n">
        <f aca="false">C80*F80</f>
        <v>0</v>
      </c>
      <c r="J80" s="5" t="n">
        <f aca="false">G80-H80</f>
        <v>0</v>
      </c>
    </row>
    <row r="81" customFormat="false" ht="15" hidden="false" customHeight="false" outlineLevel="0" collapsed="false">
      <c r="A81" s="9"/>
      <c r="B81" s="9"/>
      <c r="C81" s="22"/>
      <c r="D81" s="5" t="n">
        <f aca="false">IFERROR(VLOOKUP(B81,'كتالوج المنتجات والتسعير'!$A$7:$J$36,8,FALSE()),0)</f>
        <v>0</v>
      </c>
      <c r="E81" s="5" t="n">
        <f aca="false">IFERROR(VLOOKUP(B81,'كتالوج المنتجات والتسعير'!$A$7:$J$36,7,FALSE()),0)</f>
        <v>0</v>
      </c>
      <c r="F81" s="5" t="n">
        <f aca="false">IFERROR(VLOOKUP(B81,'كتالوج المنتجات والتسعير'!$A$7:$J$36,6,FALSE()),0)</f>
        <v>0</v>
      </c>
      <c r="G81" s="5" t="n">
        <f aca="false">C81*D81</f>
        <v>0</v>
      </c>
      <c r="H81" s="5" t="n">
        <f aca="false">C81*E81</f>
        <v>0</v>
      </c>
      <c r="I81" s="5" t="n">
        <f aca="false">C81*F81</f>
        <v>0</v>
      </c>
      <c r="J81" s="5" t="n">
        <f aca="false">G81-H81</f>
        <v>0</v>
      </c>
    </row>
    <row r="82" customFormat="false" ht="15" hidden="false" customHeight="false" outlineLevel="0" collapsed="false">
      <c r="A82" s="9"/>
      <c r="B82" s="9"/>
      <c r="C82" s="22"/>
      <c r="D82" s="5" t="n">
        <f aca="false">IFERROR(VLOOKUP(B82,'كتالوج المنتجات والتسعير'!$A$7:$J$36,8,FALSE()),0)</f>
        <v>0</v>
      </c>
      <c r="E82" s="5" t="n">
        <f aca="false">IFERROR(VLOOKUP(B82,'كتالوج المنتجات والتسعير'!$A$7:$J$36,7,FALSE()),0)</f>
        <v>0</v>
      </c>
      <c r="F82" s="5" t="n">
        <f aca="false">IFERROR(VLOOKUP(B82,'كتالوج المنتجات والتسعير'!$A$7:$J$36,6,FALSE()),0)</f>
        <v>0</v>
      </c>
      <c r="G82" s="5" t="n">
        <f aca="false">C82*D82</f>
        <v>0</v>
      </c>
      <c r="H82" s="5" t="n">
        <f aca="false">C82*E82</f>
        <v>0</v>
      </c>
      <c r="I82" s="5" t="n">
        <f aca="false">C82*F82</f>
        <v>0</v>
      </c>
      <c r="J82" s="5" t="n">
        <f aca="false">G82-H82</f>
        <v>0</v>
      </c>
    </row>
    <row r="83" customFormat="false" ht="15" hidden="false" customHeight="false" outlineLevel="0" collapsed="false">
      <c r="A83" s="9"/>
      <c r="B83" s="9"/>
      <c r="C83" s="22"/>
      <c r="D83" s="5" t="n">
        <f aca="false">IFERROR(VLOOKUP(B83,'كتالوج المنتجات والتسعير'!$A$7:$J$36,8,FALSE()),0)</f>
        <v>0</v>
      </c>
      <c r="E83" s="5" t="n">
        <f aca="false">IFERROR(VLOOKUP(B83,'كتالوج المنتجات والتسعير'!$A$7:$J$36,7,FALSE()),0)</f>
        <v>0</v>
      </c>
      <c r="F83" s="5" t="n">
        <f aca="false">IFERROR(VLOOKUP(B83,'كتالوج المنتجات والتسعير'!$A$7:$J$36,6,FALSE()),0)</f>
        <v>0</v>
      </c>
      <c r="G83" s="5" t="n">
        <f aca="false">C83*D83</f>
        <v>0</v>
      </c>
      <c r="H83" s="5" t="n">
        <f aca="false">C83*E83</f>
        <v>0</v>
      </c>
      <c r="I83" s="5" t="n">
        <f aca="false">C83*F83</f>
        <v>0</v>
      </c>
      <c r="J83" s="5" t="n">
        <f aca="false">G83-H83</f>
        <v>0</v>
      </c>
    </row>
    <row r="84" customFormat="false" ht="15" hidden="false" customHeight="false" outlineLevel="0" collapsed="false">
      <c r="A84" s="9"/>
      <c r="B84" s="9"/>
      <c r="C84" s="22"/>
      <c r="D84" s="5" t="n">
        <f aca="false">IFERROR(VLOOKUP(B84,'كتالوج المنتجات والتسعير'!$A$7:$J$36,8,FALSE()),0)</f>
        <v>0</v>
      </c>
      <c r="E84" s="5" t="n">
        <f aca="false">IFERROR(VLOOKUP(B84,'كتالوج المنتجات والتسعير'!$A$7:$J$36,7,FALSE()),0)</f>
        <v>0</v>
      </c>
      <c r="F84" s="5" t="n">
        <f aca="false">IFERROR(VLOOKUP(B84,'كتالوج المنتجات والتسعير'!$A$7:$J$36,6,FALSE()),0)</f>
        <v>0</v>
      </c>
      <c r="G84" s="5" t="n">
        <f aca="false">C84*D84</f>
        <v>0</v>
      </c>
      <c r="H84" s="5" t="n">
        <f aca="false">C84*E84</f>
        <v>0</v>
      </c>
      <c r="I84" s="5" t="n">
        <f aca="false">C84*F84</f>
        <v>0</v>
      </c>
      <c r="J84" s="5" t="n">
        <f aca="false">G84-H84</f>
        <v>0</v>
      </c>
    </row>
    <row r="85" customFormat="false" ht="15" hidden="false" customHeight="false" outlineLevel="0" collapsed="false">
      <c r="A85" s="9"/>
      <c r="B85" s="9"/>
      <c r="C85" s="22"/>
      <c r="D85" s="5" t="n">
        <f aca="false">IFERROR(VLOOKUP(B85,'كتالوج المنتجات والتسعير'!$A$7:$J$36,8,FALSE()),0)</f>
        <v>0</v>
      </c>
      <c r="E85" s="5" t="n">
        <f aca="false">IFERROR(VLOOKUP(B85,'كتالوج المنتجات والتسعير'!$A$7:$J$36,7,FALSE()),0)</f>
        <v>0</v>
      </c>
      <c r="F85" s="5" t="n">
        <f aca="false">IFERROR(VLOOKUP(B85,'كتالوج المنتجات والتسعير'!$A$7:$J$36,6,FALSE()),0)</f>
        <v>0</v>
      </c>
      <c r="G85" s="5" t="n">
        <f aca="false">C85*D85</f>
        <v>0</v>
      </c>
      <c r="H85" s="5" t="n">
        <f aca="false">C85*E85</f>
        <v>0</v>
      </c>
      <c r="I85" s="5" t="n">
        <f aca="false">C85*F85</f>
        <v>0</v>
      </c>
      <c r="J85" s="5" t="n">
        <f aca="false">G85-H85</f>
        <v>0</v>
      </c>
    </row>
    <row r="86" customFormat="false" ht="15" hidden="false" customHeight="false" outlineLevel="0" collapsed="false">
      <c r="A86" s="9"/>
      <c r="B86" s="9"/>
      <c r="C86" s="22"/>
      <c r="D86" s="5" t="n">
        <f aca="false">IFERROR(VLOOKUP(B86,'كتالوج المنتجات والتسعير'!$A$7:$J$36,8,FALSE()),0)</f>
        <v>0</v>
      </c>
      <c r="E86" s="5" t="n">
        <f aca="false">IFERROR(VLOOKUP(B86,'كتالوج المنتجات والتسعير'!$A$7:$J$36,7,FALSE()),0)</f>
        <v>0</v>
      </c>
      <c r="F86" s="5" t="n">
        <f aca="false">IFERROR(VLOOKUP(B86,'كتالوج المنتجات والتسعير'!$A$7:$J$36,6,FALSE()),0)</f>
        <v>0</v>
      </c>
      <c r="G86" s="5" t="n">
        <f aca="false">C86*D86</f>
        <v>0</v>
      </c>
      <c r="H86" s="5" t="n">
        <f aca="false">C86*E86</f>
        <v>0</v>
      </c>
      <c r="I86" s="5" t="n">
        <f aca="false">C86*F86</f>
        <v>0</v>
      </c>
      <c r="J86" s="5" t="n">
        <f aca="false">G86-H86</f>
        <v>0</v>
      </c>
    </row>
    <row r="87" customFormat="false" ht="15" hidden="false" customHeight="false" outlineLevel="0" collapsed="false">
      <c r="A87" s="9"/>
      <c r="B87" s="9"/>
      <c r="C87" s="22"/>
      <c r="D87" s="5" t="n">
        <f aca="false">IFERROR(VLOOKUP(B87,'كتالوج المنتجات والتسعير'!$A$7:$J$36,8,FALSE()),0)</f>
        <v>0</v>
      </c>
      <c r="E87" s="5" t="n">
        <f aca="false">IFERROR(VLOOKUP(B87,'كتالوج المنتجات والتسعير'!$A$7:$J$36,7,FALSE()),0)</f>
        <v>0</v>
      </c>
      <c r="F87" s="5" t="n">
        <f aca="false">IFERROR(VLOOKUP(B87,'كتالوج المنتجات والتسعير'!$A$7:$J$36,6,FALSE()),0)</f>
        <v>0</v>
      </c>
      <c r="G87" s="5" t="n">
        <f aca="false">C87*D87</f>
        <v>0</v>
      </c>
      <c r="H87" s="5" t="n">
        <f aca="false">C87*E87</f>
        <v>0</v>
      </c>
      <c r="I87" s="5" t="n">
        <f aca="false">C87*F87</f>
        <v>0</v>
      </c>
      <c r="J87" s="5" t="n">
        <f aca="false">G87-H87</f>
        <v>0</v>
      </c>
    </row>
    <row r="88" customFormat="false" ht="15" hidden="false" customHeight="false" outlineLevel="0" collapsed="false">
      <c r="A88" s="9"/>
      <c r="B88" s="9"/>
      <c r="C88" s="22"/>
      <c r="D88" s="5" t="n">
        <f aca="false">IFERROR(VLOOKUP(B88,'كتالوج المنتجات والتسعير'!$A$7:$J$36,8,FALSE()),0)</f>
        <v>0</v>
      </c>
      <c r="E88" s="5" t="n">
        <f aca="false">IFERROR(VLOOKUP(B88,'كتالوج المنتجات والتسعير'!$A$7:$J$36,7,FALSE()),0)</f>
        <v>0</v>
      </c>
      <c r="F88" s="5" t="n">
        <f aca="false">IFERROR(VLOOKUP(B88,'كتالوج المنتجات والتسعير'!$A$7:$J$36,6,FALSE()),0)</f>
        <v>0</v>
      </c>
      <c r="G88" s="5" t="n">
        <f aca="false">C88*D88</f>
        <v>0</v>
      </c>
      <c r="H88" s="5" t="n">
        <f aca="false">C88*E88</f>
        <v>0</v>
      </c>
      <c r="I88" s="5" t="n">
        <f aca="false">C88*F88</f>
        <v>0</v>
      </c>
      <c r="J88" s="5" t="n">
        <f aca="false">G88-H88</f>
        <v>0</v>
      </c>
    </row>
    <row r="89" customFormat="false" ht="15" hidden="false" customHeight="false" outlineLevel="0" collapsed="false">
      <c r="A89" s="9"/>
      <c r="B89" s="9"/>
      <c r="C89" s="22"/>
      <c r="D89" s="5" t="n">
        <f aca="false">IFERROR(VLOOKUP(B89,'كتالوج المنتجات والتسعير'!$A$7:$J$36,8,FALSE()),0)</f>
        <v>0</v>
      </c>
      <c r="E89" s="5" t="n">
        <f aca="false">IFERROR(VLOOKUP(B89,'كتالوج المنتجات والتسعير'!$A$7:$J$36,7,FALSE()),0)</f>
        <v>0</v>
      </c>
      <c r="F89" s="5" t="n">
        <f aca="false">IFERROR(VLOOKUP(B89,'كتالوج المنتجات والتسعير'!$A$7:$J$36,6,FALSE()),0)</f>
        <v>0</v>
      </c>
      <c r="G89" s="5" t="n">
        <f aca="false">C89*D89</f>
        <v>0</v>
      </c>
      <c r="H89" s="5" t="n">
        <f aca="false">C89*E89</f>
        <v>0</v>
      </c>
      <c r="I89" s="5" t="n">
        <f aca="false">C89*F89</f>
        <v>0</v>
      </c>
      <c r="J89" s="5" t="n">
        <f aca="false">G89-H89</f>
        <v>0</v>
      </c>
    </row>
    <row r="90" customFormat="false" ht="15" hidden="false" customHeight="false" outlineLevel="0" collapsed="false">
      <c r="A90" s="9"/>
      <c r="B90" s="9"/>
      <c r="C90" s="22"/>
      <c r="D90" s="5" t="n">
        <f aca="false">IFERROR(VLOOKUP(B90,'كتالوج المنتجات والتسعير'!$A$7:$J$36,8,FALSE()),0)</f>
        <v>0</v>
      </c>
      <c r="E90" s="5" t="n">
        <f aca="false">IFERROR(VLOOKUP(B90,'كتالوج المنتجات والتسعير'!$A$7:$J$36,7,FALSE()),0)</f>
        <v>0</v>
      </c>
      <c r="F90" s="5" t="n">
        <f aca="false">IFERROR(VLOOKUP(B90,'كتالوج المنتجات والتسعير'!$A$7:$J$36,6,FALSE()),0)</f>
        <v>0</v>
      </c>
      <c r="G90" s="5" t="n">
        <f aca="false">C90*D90</f>
        <v>0</v>
      </c>
      <c r="H90" s="5" t="n">
        <f aca="false">C90*E90</f>
        <v>0</v>
      </c>
      <c r="I90" s="5" t="n">
        <f aca="false">C90*F90</f>
        <v>0</v>
      </c>
      <c r="J90" s="5" t="n">
        <f aca="false">G90-H90</f>
        <v>0</v>
      </c>
    </row>
    <row r="91" customFormat="false" ht="15" hidden="false" customHeight="false" outlineLevel="0" collapsed="false">
      <c r="A91" s="9"/>
      <c r="B91" s="9"/>
      <c r="C91" s="22"/>
      <c r="D91" s="5" t="n">
        <f aca="false">IFERROR(VLOOKUP(B91,'كتالوج المنتجات والتسعير'!$A$7:$J$36,8,FALSE()),0)</f>
        <v>0</v>
      </c>
      <c r="E91" s="5" t="n">
        <f aca="false">IFERROR(VLOOKUP(B91,'كتالوج المنتجات والتسعير'!$A$7:$J$36,7,FALSE()),0)</f>
        <v>0</v>
      </c>
      <c r="F91" s="5" t="n">
        <f aca="false">IFERROR(VLOOKUP(B91,'كتالوج المنتجات والتسعير'!$A$7:$J$36,6,FALSE()),0)</f>
        <v>0</v>
      </c>
      <c r="G91" s="5" t="n">
        <f aca="false">C91*D91</f>
        <v>0</v>
      </c>
      <c r="H91" s="5" t="n">
        <f aca="false">C91*E91</f>
        <v>0</v>
      </c>
      <c r="I91" s="5" t="n">
        <f aca="false">C91*F91</f>
        <v>0</v>
      </c>
      <c r="J91" s="5" t="n">
        <f aca="false">G91-H91</f>
        <v>0</v>
      </c>
    </row>
    <row r="92" customFormat="false" ht="15" hidden="false" customHeight="false" outlineLevel="0" collapsed="false">
      <c r="A92" s="9"/>
      <c r="B92" s="9"/>
      <c r="C92" s="22"/>
      <c r="D92" s="5" t="n">
        <f aca="false">IFERROR(VLOOKUP(B92,'كتالوج المنتجات والتسعير'!$A$7:$J$36,8,FALSE()),0)</f>
        <v>0</v>
      </c>
      <c r="E92" s="5" t="n">
        <f aca="false">IFERROR(VLOOKUP(B92,'كتالوج المنتجات والتسعير'!$A$7:$J$36,7,FALSE()),0)</f>
        <v>0</v>
      </c>
      <c r="F92" s="5" t="n">
        <f aca="false">IFERROR(VLOOKUP(B92,'كتالوج المنتجات والتسعير'!$A$7:$J$36,6,FALSE()),0)</f>
        <v>0</v>
      </c>
      <c r="G92" s="5" t="n">
        <f aca="false">C92*D92</f>
        <v>0</v>
      </c>
      <c r="H92" s="5" t="n">
        <f aca="false">C92*E92</f>
        <v>0</v>
      </c>
      <c r="I92" s="5" t="n">
        <f aca="false">C92*F92</f>
        <v>0</v>
      </c>
      <c r="J92" s="5" t="n">
        <f aca="false">G92-H92</f>
        <v>0</v>
      </c>
    </row>
    <row r="93" customFormat="false" ht="15" hidden="false" customHeight="false" outlineLevel="0" collapsed="false">
      <c r="A93" s="9"/>
      <c r="B93" s="9"/>
      <c r="C93" s="22"/>
      <c r="D93" s="5" t="n">
        <f aca="false">IFERROR(VLOOKUP(B93,'كتالوج المنتجات والتسعير'!$A$7:$J$36,8,FALSE()),0)</f>
        <v>0</v>
      </c>
      <c r="E93" s="5" t="n">
        <f aca="false">IFERROR(VLOOKUP(B93,'كتالوج المنتجات والتسعير'!$A$7:$J$36,7,FALSE()),0)</f>
        <v>0</v>
      </c>
      <c r="F93" s="5" t="n">
        <f aca="false">IFERROR(VLOOKUP(B93,'كتالوج المنتجات والتسعير'!$A$7:$J$36,6,FALSE()),0)</f>
        <v>0</v>
      </c>
      <c r="G93" s="5" t="n">
        <f aca="false">C93*D93</f>
        <v>0</v>
      </c>
      <c r="H93" s="5" t="n">
        <f aca="false">C93*E93</f>
        <v>0</v>
      </c>
      <c r="I93" s="5" t="n">
        <f aca="false">C93*F93</f>
        <v>0</v>
      </c>
      <c r="J93" s="5" t="n">
        <f aca="false">G93-H93</f>
        <v>0</v>
      </c>
    </row>
    <row r="94" customFormat="false" ht="15" hidden="false" customHeight="false" outlineLevel="0" collapsed="false">
      <c r="A94" s="9"/>
      <c r="B94" s="9"/>
      <c r="C94" s="22"/>
      <c r="D94" s="5" t="n">
        <f aca="false">IFERROR(VLOOKUP(B94,'كتالوج المنتجات والتسعير'!$A$7:$J$36,8,FALSE()),0)</f>
        <v>0</v>
      </c>
      <c r="E94" s="5" t="n">
        <f aca="false">IFERROR(VLOOKUP(B94,'كتالوج المنتجات والتسعير'!$A$7:$J$36,7,FALSE()),0)</f>
        <v>0</v>
      </c>
      <c r="F94" s="5" t="n">
        <f aca="false">IFERROR(VLOOKUP(B94,'كتالوج المنتجات والتسعير'!$A$7:$J$36,6,FALSE()),0)</f>
        <v>0</v>
      </c>
      <c r="G94" s="5" t="n">
        <f aca="false">C94*D94</f>
        <v>0</v>
      </c>
      <c r="H94" s="5" t="n">
        <f aca="false">C94*E94</f>
        <v>0</v>
      </c>
      <c r="I94" s="5" t="n">
        <f aca="false">C94*F94</f>
        <v>0</v>
      </c>
      <c r="J94" s="5" t="n">
        <f aca="false">G94-H94</f>
        <v>0</v>
      </c>
    </row>
    <row r="95" customFormat="false" ht="15" hidden="false" customHeight="false" outlineLevel="0" collapsed="false">
      <c r="A95" s="9"/>
      <c r="B95" s="9"/>
      <c r="C95" s="22"/>
      <c r="D95" s="5" t="n">
        <f aca="false">IFERROR(VLOOKUP(B95,'كتالوج المنتجات والتسعير'!$A$7:$J$36,8,FALSE()),0)</f>
        <v>0</v>
      </c>
      <c r="E95" s="5" t="n">
        <f aca="false">IFERROR(VLOOKUP(B95,'كتالوج المنتجات والتسعير'!$A$7:$J$36,7,FALSE()),0)</f>
        <v>0</v>
      </c>
      <c r="F95" s="5" t="n">
        <f aca="false">IFERROR(VLOOKUP(B95,'كتالوج المنتجات والتسعير'!$A$7:$J$36,6,FALSE()),0)</f>
        <v>0</v>
      </c>
      <c r="G95" s="5" t="n">
        <f aca="false">C95*D95</f>
        <v>0</v>
      </c>
      <c r="H95" s="5" t="n">
        <f aca="false">C95*E95</f>
        <v>0</v>
      </c>
      <c r="I95" s="5" t="n">
        <f aca="false">C95*F95</f>
        <v>0</v>
      </c>
      <c r="J95" s="5" t="n">
        <f aca="false">G95-H95</f>
        <v>0</v>
      </c>
    </row>
    <row r="96" customFormat="false" ht="15" hidden="false" customHeight="false" outlineLevel="0" collapsed="false">
      <c r="A96" s="9"/>
      <c r="B96" s="9"/>
      <c r="C96" s="22"/>
      <c r="D96" s="5" t="n">
        <f aca="false">IFERROR(VLOOKUP(B96,'كتالوج المنتجات والتسعير'!$A$7:$J$36,8,FALSE()),0)</f>
        <v>0</v>
      </c>
      <c r="E96" s="5" t="n">
        <f aca="false">IFERROR(VLOOKUP(B96,'كتالوج المنتجات والتسعير'!$A$7:$J$36,7,FALSE()),0)</f>
        <v>0</v>
      </c>
      <c r="F96" s="5" t="n">
        <f aca="false">IFERROR(VLOOKUP(B96,'كتالوج المنتجات والتسعير'!$A$7:$J$36,6,FALSE()),0)</f>
        <v>0</v>
      </c>
      <c r="G96" s="5" t="n">
        <f aca="false">C96*D96</f>
        <v>0</v>
      </c>
      <c r="H96" s="5" t="n">
        <f aca="false">C96*E96</f>
        <v>0</v>
      </c>
      <c r="I96" s="5" t="n">
        <f aca="false">C96*F96</f>
        <v>0</v>
      </c>
      <c r="J96" s="5" t="n">
        <f aca="false">G96-H96</f>
        <v>0</v>
      </c>
    </row>
    <row r="97" customFormat="false" ht="15" hidden="false" customHeight="false" outlineLevel="0" collapsed="false">
      <c r="A97" s="9"/>
      <c r="B97" s="9"/>
      <c r="C97" s="22"/>
      <c r="D97" s="5" t="n">
        <f aca="false">IFERROR(VLOOKUP(B97,'كتالوج المنتجات والتسعير'!$A$7:$J$36,8,FALSE()),0)</f>
        <v>0</v>
      </c>
      <c r="E97" s="5" t="n">
        <f aca="false">IFERROR(VLOOKUP(B97,'كتالوج المنتجات والتسعير'!$A$7:$J$36,7,FALSE()),0)</f>
        <v>0</v>
      </c>
      <c r="F97" s="5" t="n">
        <f aca="false">IFERROR(VLOOKUP(B97,'كتالوج المنتجات والتسعير'!$A$7:$J$36,6,FALSE()),0)</f>
        <v>0</v>
      </c>
      <c r="G97" s="5" t="n">
        <f aca="false">C97*D97</f>
        <v>0</v>
      </c>
      <c r="H97" s="5" t="n">
        <f aca="false">C97*E97</f>
        <v>0</v>
      </c>
      <c r="I97" s="5" t="n">
        <f aca="false">C97*F97</f>
        <v>0</v>
      </c>
      <c r="J97" s="5" t="n">
        <f aca="false">G97-H97</f>
        <v>0</v>
      </c>
    </row>
    <row r="98" customFormat="false" ht="15" hidden="false" customHeight="false" outlineLevel="0" collapsed="false">
      <c r="A98" s="9"/>
      <c r="B98" s="9"/>
      <c r="C98" s="22"/>
      <c r="D98" s="5" t="n">
        <f aca="false">IFERROR(VLOOKUP(B98,'كتالوج المنتجات والتسعير'!$A$7:$J$36,8,FALSE()),0)</f>
        <v>0</v>
      </c>
      <c r="E98" s="5" t="n">
        <f aca="false">IFERROR(VLOOKUP(B98,'كتالوج المنتجات والتسعير'!$A$7:$J$36,7,FALSE()),0)</f>
        <v>0</v>
      </c>
      <c r="F98" s="5" t="n">
        <f aca="false">IFERROR(VLOOKUP(B98,'كتالوج المنتجات والتسعير'!$A$7:$J$36,6,FALSE()),0)</f>
        <v>0</v>
      </c>
      <c r="G98" s="5" t="n">
        <f aca="false">C98*D98</f>
        <v>0</v>
      </c>
      <c r="H98" s="5" t="n">
        <f aca="false">C98*E98</f>
        <v>0</v>
      </c>
      <c r="I98" s="5" t="n">
        <f aca="false">C98*F98</f>
        <v>0</v>
      </c>
      <c r="J98" s="5" t="n">
        <f aca="false">G98-H98</f>
        <v>0</v>
      </c>
    </row>
    <row r="99" customFormat="false" ht="15" hidden="false" customHeight="false" outlineLevel="0" collapsed="false">
      <c r="A99" s="9"/>
      <c r="B99" s="9"/>
      <c r="C99" s="22"/>
      <c r="D99" s="5" t="n">
        <f aca="false">IFERROR(VLOOKUP(B99,'كتالوج المنتجات والتسعير'!$A$7:$J$36,8,FALSE()),0)</f>
        <v>0</v>
      </c>
      <c r="E99" s="5" t="n">
        <f aca="false">IFERROR(VLOOKUP(B99,'كتالوج المنتجات والتسعير'!$A$7:$J$36,7,FALSE()),0)</f>
        <v>0</v>
      </c>
      <c r="F99" s="5" t="n">
        <f aca="false">IFERROR(VLOOKUP(B99,'كتالوج المنتجات والتسعير'!$A$7:$J$36,6,FALSE()),0)</f>
        <v>0</v>
      </c>
      <c r="G99" s="5" t="n">
        <f aca="false">C99*D99</f>
        <v>0</v>
      </c>
      <c r="H99" s="5" t="n">
        <f aca="false">C99*E99</f>
        <v>0</v>
      </c>
      <c r="I99" s="5" t="n">
        <f aca="false">C99*F99</f>
        <v>0</v>
      </c>
      <c r="J99" s="5" t="n">
        <f aca="false">G99-H99</f>
        <v>0</v>
      </c>
    </row>
    <row r="100" customFormat="false" ht="15" hidden="false" customHeight="false" outlineLevel="0" collapsed="false">
      <c r="A100" s="9"/>
      <c r="B100" s="9"/>
      <c r="C100" s="22"/>
      <c r="D100" s="5" t="n">
        <f aca="false">IFERROR(VLOOKUP(B100,'كتالوج المنتجات والتسعير'!$A$7:$J$36,8,FALSE()),0)</f>
        <v>0</v>
      </c>
      <c r="E100" s="5" t="n">
        <f aca="false">IFERROR(VLOOKUP(B100,'كتالوج المنتجات والتسعير'!$A$7:$J$36,7,FALSE()),0)</f>
        <v>0</v>
      </c>
      <c r="F100" s="5" t="n">
        <f aca="false">IFERROR(VLOOKUP(B100,'كتالوج المنتجات والتسعير'!$A$7:$J$36,6,FALSE()),0)</f>
        <v>0</v>
      </c>
      <c r="G100" s="5" t="n">
        <f aca="false">C100*D100</f>
        <v>0</v>
      </c>
      <c r="H100" s="5" t="n">
        <f aca="false">C100*E100</f>
        <v>0</v>
      </c>
      <c r="I100" s="5" t="n">
        <f aca="false">C100*F100</f>
        <v>0</v>
      </c>
      <c r="J100" s="5" t="n">
        <f aca="false">G100-H100</f>
        <v>0</v>
      </c>
    </row>
    <row r="101" customFormat="false" ht="15" hidden="false" customHeight="false" outlineLevel="0" collapsed="false">
      <c r="A101" s="9"/>
      <c r="B101" s="9"/>
      <c r="C101" s="22"/>
      <c r="D101" s="5" t="n">
        <f aca="false">IFERROR(VLOOKUP(B101,'كتالوج المنتجات والتسعير'!$A$7:$J$36,8,FALSE()),0)</f>
        <v>0</v>
      </c>
      <c r="E101" s="5" t="n">
        <f aca="false">IFERROR(VLOOKUP(B101,'كتالوج المنتجات والتسعير'!$A$7:$J$36,7,FALSE()),0)</f>
        <v>0</v>
      </c>
      <c r="F101" s="5" t="n">
        <f aca="false">IFERROR(VLOOKUP(B101,'كتالوج المنتجات والتسعير'!$A$7:$J$36,6,FALSE()),0)</f>
        <v>0</v>
      </c>
      <c r="G101" s="5" t="n">
        <f aca="false">C101*D101</f>
        <v>0</v>
      </c>
      <c r="H101" s="5" t="n">
        <f aca="false">C101*E101</f>
        <v>0</v>
      </c>
      <c r="I101" s="5" t="n">
        <f aca="false">C101*F101</f>
        <v>0</v>
      </c>
      <c r="J101" s="5" t="n">
        <f aca="false">G101-H101</f>
        <v>0</v>
      </c>
    </row>
    <row r="102" customFormat="false" ht="15" hidden="false" customHeight="false" outlineLevel="0" collapsed="false">
      <c r="A102" s="9"/>
      <c r="B102" s="9"/>
      <c r="C102" s="22"/>
      <c r="D102" s="5" t="n">
        <f aca="false">IFERROR(VLOOKUP(B102,'كتالوج المنتجات والتسعير'!$A$7:$J$36,8,FALSE()),0)</f>
        <v>0</v>
      </c>
      <c r="E102" s="5" t="n">
        <f aca="false">IFERROR(VLOOKUP(B102,'كتالوج المنتجات والتسعير'!$A$7:$J$36,7,FALSE()),0)</f>
        <v>0</v>
      </c>
      <c r="F102" s="5" t="n">
        <f aca="false">IFERROR(VLOOKUP(B102,'كتالوج المنتجات والتسعير'!$A$7:$J$36,6,FALSE()),0)</f>
        <v>0</v>
      </c>
      <c r="G102" s="5" t="n">
        <f aca="false">C102*D102</f>
        <v>0</v>
      </c>
      <c r="H102" s="5" t="n">
        <f aca="false">C102*E102</f>
        <v>0</v>
      </c>
      <c r="I102" s="5" t="n">
        <f aca="false">C102*F102</f>
        <v>0</v>
      </c>
      <c r="J102" s="5" t="n">
        <f aca="false">G102-H102</f>
        <v>0</v>
      </c>
    </row>
    <row r="103" customFormat="false" ht="15" hidden="false" customHeight="false" outlineLevel="0" collapsed="false">
      <c r="A103" s="9"/>
      <c r="B103" s="9"/>
      <c r="C103" s="22"/>
      <c r="D103" s="5" t="n">
        <f aca="false">IFERROR(VLOOKUP(B103,'كتالوج المنتجات والتسعير'!$A$7:$J$36,8,FALSE()),0)</f>
        <v>0</v>
      </c>
      <c r="E103" s="5" t="n">
        <f aca="false">IFERROR(VLOOKUP(B103,'كتالوج المنتجات والتسعير'!$A$7:$J$36,7,FALSE()),0)</f>
        <v>0</v>
      </c>
      <c r="F103" s="5" t="n">
        <f aca="false">IFERROR(VLOOKUP(B103,'كتالوج المنتجات والتسعير'!$A$7:$J$36,6,FALSE()),0)</f>
        <v>0</v>
      </c>
      <c r="G103" s="5" t="n">
        <f aca="false">C103*D103</f>
        <v>0</v>
      </c>
      <c r="H103" s="5" t="n">
        <f aca="false">C103*E103</f>
        <v>0</v>
      </c>
      <c r="I103" s="5" t="n">
        <f aca="false">C103*F103</f>
        <v>0</v>
      </c>
      <c r="J103" s="5" t="n">
        <f aca="false">G103-H103</f>
        <v>0</v>
      </c>
    </row>
    <row r="104" customFormat="false" ht="15" hidden="false" customHeight="false" outlineLevel="0" collapsed="false">
      <c r="A104" s="9"/>
      <c r="B104" s="9"/>
      <c r="C104" s="22"/>
      <c r="D104" s="5" t="n">
        <f aca="false">IFERROR(VLOOKUP(B104,'كتالوج المنتجات والتسعير'!$A$7:$J$36,8,FALSE()),0)</f>
        <v>0</v>
      </c>
      <c r="E104" s="5" t="n">
        <f aca="false">IFERROR(VLOOKUP(B104,'كتالوج المنتجات والتسعير'!$A$7:$J$36,7,FALSE()),0)</f>
        <v>0</v>
      </c>
      <c r="F104" s="5" t="n">
        <f aca="false">IFERROR(VLOOKUP(B104,'كتالوج المنتجات والتسعير'!$A$7:$J$36,6,FALSE()),0)</f>
        <v>0</v>
      </c>
      <c r="G104" s="5" t="n">
        <f aca="false">C104*D104</f>
        <v>0</v>
      </c>
      <c r="H104" s="5" t="n">
        <f aca="false">C104*E104</f>
        <v>0</v>
      </c>
      <c r="I104" s="5" t="n">
        <f aca="false">C104*F104</f>
        <v>0</v>
      </c>
      <c r="J104" s="5" t="n">
        <f aca="false">G104-H104</f>
        <v>0</v>
      </c>
    </row>
    <row r="105" customFormat="false" ht="15" hidden="false" customHeight="false" outlineLevel="0" collapsed="false">
      <c r="A105" s="9"/>
      <c r="B105" s="9"/>
      <c r="C105" s="22"/>
      <c r="D105" s="5" t="n">
        <f aca="false">IFERROR(VLOOKUP(B105,'كتالوج المنتجات والتسعير'!$A$7:$J$36,8,FALSE()),0)</f>
        <v>0</v>
      </c>
      <c r="E105" s="5" t="n">
        <f aca="false">IFERROR(VLOOKUP(B105,'كتالوج المنتجات والتسعير'!$A$7:$J$36,7,FALSE()),0)</f>
        <v>0</v>
      </c>
      <c r="F105" s="5" t="n">
        <f aca="false">IFERROR(VLOOKUP(B105,'كتالوج المنتجات والتسعير'!$A$7:$J$36,6,FALSE()),0)</f>
        <v>0</v>
      </c>
      <c r="G105" s="5" t="n">
        <f aca="false">C105*D105</f>
        <v>0</v>
      </c>
      <c r="H105" s="5" t="n">
        <f aca="false">C105*E105</f>
        <v>0</v>
      </c>
      <c r="I105" s="5" t="n">
        <f aca="false">C105*F105</f>
        <v>0</v>
      </c>
      <c r="J105" s="5" t="n">
        <f aca="false">G105-H105</f>
        <v>0</v>
      </c>
    </row>
    <row r="106" customFormat="false" ht="15" hidden="false" customHeight="false" outlineLevel="0" collapsed="false">
      <c r="A106" s="9"/>
      <c r="B106" s="9"/>
      <c r="C106" s="22"/>
      <c r="D106" s="5" t="n">
        <f aca="false">IFERROR(VLOOKUP(B106,'كتالوج المنتجات والتسعير'!$A$7:$J$36,8,FALSE()),0)</f>
        <v>0</v>
      </c>
      <c r="E106" s="5" t="n">
        <f aca="false">IFERROR(VLOOKUP(B106,'كتالوج المنتجات والتسعير'!$A$7:$J$36,7,FALSE()),0)</f>
        <v>0</v>
      </c>
      <c r="F106" s="5" t="n">
        <f aca="false">IFERROR(VLOOKUP(B106,'كتالوج المنتجات والتسعير'!$A$7:$J$36,6,FALSE()),0)</f>
        <v>0</v>
      </c>
      <c r="G106" s="5" t="n">
        <f aca="false">C106*D106</f>
        <v>0</v>
      </c>
      <c r="H106" s="5" t="n">
        <f aca="false">C106*E106</f>
        <v>0</v>
      </c>
      <c r="I106" s="5" t="n">
        <f aca="false">C106*F106</f>
        <v>0</v>
      </c>
      <c r="J106" s="5" t="n">
        <f aca="false">G106-H106</f>
        <v>0</v>
      </c>
    </row>
    <row r="107" customFormat="false" ht="15" hidden="false" customHeight="false" outlineLevel="0" collapsed="false">
      <c r="A107" s="9"/>
      <c r="B107" s="9"/>
      <c r="C107" s="22"/>
      <c r="D107" s="5" t="n">
        <f aca="false">IFERROR(VLOOKUP(B107,'كتالوج المنتجات والتسعير'!$A$7:$J$36,8,FALSE()),0)</f>
        <v>0</v>
      </c>
      <c r="E107" s="5" t="n">
        <f aca="false">IFERROR(VLOOKUP(B107,'كتالوج المنتجات والتسعير'!$A$7:$J$36,7,FALSE()),0)</f>
        <v>0</v>
      </c>
      <c r="F107" s="5" t="n">
        <f aca="false">IFERROR(VLOOKUP(B107,'كتالوج المنتجات والتسعير'!$A$7:$J$36,6,FALSE()),0)</f>
        <v>0</v>
      </c>
      <c r="G107" s="5" t="n">
        <f aca="false">C107*D107</f>
        <v>0</v>
      </c>
      <c r="H107" s="5" t="n">
        <f aca="false">C107*E107</f>
        <v>0</v>
      </c>
      <c r="I107" s="5" t="n">
        <f aca="false">C107*F107</f>
        <v>0</v>
      </c>
      <c r="J107" s="5" t="n">
        <f aca="false">G107-H107</f>
        <v>0</v>
      </c>
    </row>
    <row r="108" customFormat="false" ht="15" hidden="false" customHeight="false" outlineLevel="0" collapsed="false">
      <c r="A108" s="9"/>
      <c r="B108" s="9"/>
      <c r="C108" s="22"/>
      <c r="D108" s="5" t="n">
        <f aca="false">IFERROR(VLOOKUP(B108,'كتالوج المنتجات والتسعير'!$A$7:$J$36,8,FALSE()),0)</f>
        <v>0</v>
      </c>
      <c r="E108" s="5" t="n">
        <f aca="false">IFERROR(VLOOKUP(B108,'كتالوج المنتجات والتسعير'!$A$7:$J$36,7,FALSE()),0)</f>
        <v>0</v>
      </c>
      <c r="F108" s="5" t="n">
        <f aca="false">IFERROR(VLOOKUP(B108,'كتالوج المنتجات والتسعير'!$A$7:$J$36,6,FALSE()),0)</f>
        <v>0</v>
      </c>
      <c r="G108" s="5" t="n">
        <f aca="false">C108*D108</f>
        <v>0</v>
      </c>
      <c r="H108" s="5" t="n">
        <f aca="false">C108*E108</f>
        <v>0</v>
      </c>
      <c r="I108" s="5" t="n">
        <f aca="false">C108*F108</f>
        <v>0</v>
      </c>
      <c r="J108" s="5" t="n">
        <f aca="false">G108-H108</f>
        <v>0</v>
      </c>
    </row>
    <row r="109" customFormat="false" ht="15" hidden="false" customHeight="false" outlineLevel="0" collapsed="false">
      <c r="A109" s="9"/>
      <c r="B109" s="9"/>
      <c r="C109" s="22"/>
      <c r="D109" s="5" t="n">
        <f aca="false">IFERROR(VLOOKUP(B109,'كتالوج المنتجات والتسعير'!$A$7:$J$36,8,FALSE()),0)</f>
        <v>0</v>
      </c>
      <c r="E109" s="5" t="n">
        <f aca="false">IFERROR(VLOOKUP(B109,'كتالوج المنتجات والتسعير'!$A$7:$J$36,7,FALSE()),0)</f>
        <v>0</v>
      </c>
      <c r="F109" s="5" t="n">
        <f aca="false">IFERROR(VLOOKUP(B109,'كتالوج المنتجات والتسعير'!$A$7:$J$36,6,FALSE()),0)</f>
        <v>0</v>
      </c>
      <c r="G109" s="5" t="n">
        <f aca="false">C109*D109</f>
        <v>0</v>
      </c>
      <c r="H109" s="5" t="n">
        <f aca="false">C109*E109</f>
        <v>0</v>
      </c>
      <c r="I109" s="5" t="n">
        <f aca="false">C109*F109</f>
        <v>0</v>
      </c>
      <c r="J109" s="5" t="n">
        <f aca="false">G109-H109</f>
        <v>0</v>
      </c>
    </row>
    <row r="110" customFormat="false" ht="15" hidden="false" customHeight="false" outlineLevel="0" collapsed="false">
      <c r="A110" s="9"/>
      <c r="B110" s="9"/>
      <c r="C110" s="22"/>
      <c r="D110" s="5" t="n">
        <f aca="false">IFERROR(VLOOKUP(B110,'كتالوج المنتجات والتسعير'!$A$7:$J$36,8,FALSE()),0)</f>
        <v>0</v>
      </c>
      <c r="E110" s="5" t="n">
        <f aca="false">IFERROR(VLOOKUP(B110,'كتالوج المنتجات والتسعير'!$A$7:$J$36,7,FALSE()),0)</f>
        <v>0</v>
      </c>
      <c r="F110" s="5" t="n">
        <f aca="false">IFERROR(VLOOKUP(B110,'كتالوج المنتجات والتسعير'!$A$7:$J$36,6,FALSE()),0)</f>
        <v>0</v>
      </c>
      <c r="G110" s="5" t="n">
        <f aca="false">C110*D110</f>
        <v>0</v>
      </c>
      <c r="H110" s="5" t="n">
        <f aca="false">C110*E110</f>
        <v>0</v>
      </c>
      <c r="I110" s="5" t="n">
        <f aca="false">C110*F110</f>
        <v>0</v>
      </c>
      <c r="J110" s="5" t="n">
        <f aca="false">G110-H110</f>
        <v>0</v>
      </c>
    </row>
    <row r="111" customFormat="false" ht="15" hidden="false" customHeight="false" outlineLevel="0" collapsed="false">
      <c r="A111" s="9"/>
      <c r="B111" s="9"/>
      <c r="C111" s="22"/>
      <c r="D111" s="5" t="n">
        <f aca="false">IFERROR(VLOOKUP(B111,'كتالوج المنتجات والتسعير'!$A$7:$J$36,8,FALSE()),0)</f>
        <v>0</v>
      </c>
      <c r="E111" s="5" t="n">
        <f aca="false">IFERROR(VLOOKUP(B111,'كتالوج المنتجات والتسعير'!$A$7:$J$36,7,FALSE()),0)</f>
        <v>0</v>
      </c>
      <c r="F111" s="5" t="n">
        <f aca="false">IFERROR(VLOOKUP(B111,'كتالوج المنتجات والتسعير'!$A$7:$J$36,6,FALSE()),0)</f>
        <v>0</v>
      </c>
      <c r="G111" s="5" t="n">
        <f aca="false">C111*D111</f>
        <v>0</v>
      </c>
      <c r="H111" s="5" t="n">
        <f aca="false">C111*E111</f>
        <v>0</v>
      </c>
      <c r="I111" s="5" t="n">
        <f aca="false">C111*F111</f>
        <v>0</v>
      </c>
      <c r="J111" s="5" t="n">
        <f aca="false">G111-H111</f>
        <v>0</v>
      </c>
    </row>
    <row r="112" customFormat="false" ht="15" hidden="false" customHeight="false" outlineLevel="0" collapsed="false">
      <c r="A112" s="9"/>
      <c r="B112" s="9"/>
      <c r="C112" s="22"/>
      <c r="D112" s="5" t="n">
        <f aca="false">IFERROR(VLOOKUP(B112,'كتالوج المنتجات والتسعير'!$A$7:$J$36,8,FALSE()),0)</f>
        <v>0</v>
      </c>
      <c r="E112" s="5" t="n">
        <f aca="false">IFERROR(VLOOKUP(B112,'كتالوج المنتجات والتسعير'!$A$7:$J$36,7,FALSE()),0)</f>
        <v>0</v>
      </c>
      <c r="F112" s="5" t="n">
        <f aca="false">IFERROR(VLOOKUP(B112,'كتالوج المنتجات والتسعير'!$A$7:$J$36,6,FALSE()),0)</f>
        <v>0</v>
      </c>
      <c r="G112" s="5" t="n">
        <f aca="false">C112*D112</f>
        <v>0</v>
      </c>
      <c r="H112" s="5" t="n">
        <f aca="false">C112*E112</f>
        <v>0</v>
      </c>
      <c r="I112" s="5" t="n">
        <f aca="false">C112*F112</f>
        <v>0</v>
      </c>
      <c r="J112" s="5" t="n">
        <f aca="false">G112-H112</f>
        <v>0</v>
      </c>
    </row>
    <row r="113" customFormat="false" ht="15" hidden="false" customHeight="false" outlineLevel="0" collapsed="false">
      <c r="A113" s="9"/>
      <c r="B113" s="9"/>
      <c r="C113" s="22"/>
      <c r="D113" s="5" t="n">
        <f aca="false">IFERROR(VLOOKUP(B113,'كتالوج المنتجات والتسعير'!$A$7:$J$36,8,FALSE()),0)</f>
        <v>0</v>
      </c>
      <c r="E113" s="5" t="n">
        <f aca="false">IFERROR(VLOOKUP(B113,'كتالوج المنتجات والتسعير'!$A$7:$J$36,7,FALSE()),0)</f>
        <v>0</v>
      </c>
      <c r="F113" s="5" t="n">
        <f aca="false">IFERROR(VLOOKUP(B113,'كتالوج المنتجات والتسعير'!$A$7:$J$36,6,FALSE()),0)</f>
        <v>0</v>
      </c>
      <c r="G113" s="5" t="n">
        <f aca="false">C113*D113</f>
        <v>0</v>
      </c>
      <c r="H113" s="5" t="n">
        <f aca="false">C113*E113</f>
        <v>0</v>
      </c>
      <c r="I113" s="5" t="n">
        <f aca="false">C113*F113</f>
        <v>0</v>
      </c>
      <c r="J113" s="5" t="n">
        <f aca="false">G113-H113</f>
        <v>0</v>
      </c>
    </row>
    <row r="114" customFormat="false" ht="15" hidden="false" customHeight="false" outlineLevel="0" collapsed="false">
      <c r="A114" s="9"/>
      <c r="B114" s="9"/>
      <c r="C114" s="22"/>
      <c r="D114" s="5" t="n">
        <f aca="false">IFERROR(VLOOKUP(B114,'كتالوج المنتجات والتسعير'!$A$7:$J$36,8,FALSE()),0)</f>
        <v>0</v>
      </c>
      <c r="E114" s="5" t="n">
        <f aca="false">IFERROR(VLOOKUP(B114,'كتالوج المنتجات والتسعير'!$A$7:$J$36,7,FALSE()),0)</f>
        <v>0</v>
      </c>
      <c r="F114" s="5" t="n">
        <f aca="false">IFERROR(VLOOKUP(B114,'كتالوج المنتجات والتسعير'!$A$7:$J$36,6,FALSE()),0)</f>
        <v>0</v>
      </c>
      <c r="G114" s="5" t="n">
        <f aca="false">C114*D114</f>
        <v>0</v>
      </c>
      <c r="H114" s="5" t="n">
        <f aca="false">C114*E114</f>
        <v>0</v>
      </c>
      <c r="I114" s="5" t="n">
        <f aca="false">C114*F114</f>
        <v>0</v>
      </c>
      <c r="J114" s="5" t="n">
        <f aca="false">G114-H114</f>
        <v>0</v>
      </c>
    </row>
    <row r="115" customFormat="false" ht="15" hidden="false" customHeight="false" outlineLevel="0" collapsed="false">
      <c r="A115" s="9"/>
      <c r="B115" s="9"/>
      <c r="C115" s="22"/>
      <c r="D115" s="5" t="n">
        <f aca="false">IFERROR(VLOOKUP(B115,'كتالوج المنتجات والتسعير'!$A$7:$J$36,8,FALSE()),0)</f>
        <v>0</v>
      </c>
      <c r="E115" s="5" t="n">
        <f aca="false">IFERROR(VLOOKUP(B115,'كتالوج المنتجات والتسعير'!$A$7:$J$36,7,FALSE()),0)</f>
        <v>0</v>
      </c>
      <c r="F115" s="5" t="n">
        <f aca="false">IFERROR(VLOOKUP(B115,'كتالوج المنتجات والتسعير'!$A$7:$J$36,6,FALSE()),0)</f>
        <v>0</v>
      </c>
      <c r="G115" s="5" t="n">
        <f aca="false">C115*D115</f>
        <v>0</v>
      </c>
      <c r="H115" s="5" t="n">
        <f aca="false">C115*E115</f>
        <v>0</v>
      </c>
      <c r="I115" s="5" t="n">
        <f aca="false">C115*F115</f>
        <v>0</v>
      </c>
      <c r="J115" s="5" t="n">
        <f aca="false">G115-H115</f>
        <v>0</v>
      </c>
    </row>
    <row r="116" customFormat="false" ht="15" hidden="false" customHeight="false" outlineLevel="0" collapsed="false">
      <c r="A116" s="9"/>
      <c r="B116" s="9"/>
      <c r="C116" s="22"/>
      <c r="D116" s="5" t="n">
        <f aca="false">IFERROR(VLOOKUP(B116,'كتالوج المنتجات والتسعير'!$A$7:$J$36,8,FALSE()),0)</f>
        <v>0</v>
      </c>
      <c r="E116" s="5" t="n">
        <f aca="false">IFERROR(VLOOKUP(B116,'كتالوج المنتجات والتسعير'!$A$7:$J$36,7,FALSE()),0)</f>
        <v>0</v>
      </c>
      <c r="F116" s="5" t="n">
        <f aca="false">IFERROR(VLOOKUP(B116,'كتالوج المنتجات والتسعير'!$A$7:$J$36,6,FALSE()),0)</f>
        <v>0</v>
      </c>
      <c r="G116" s="5" t="n">
        <f aca="false">C116*D116</f>
        <v>0</v>
      </c>
      <c r="H116" s="5" t="n">
        <f aca="false">C116*E116</f>
        <v>0</v>
      </c>
      <c r="I116" s="5" t="n">
        <f aca="false">C116*F116</f>
        <v>0</v>
      </c>
      <c r="J116" s="5" t="n">
        <f aca="false">G116-H116</f>
        <v>0</v>
      </c>
    </row>
    <row r="117" customFormat="false" ht="15" hidden="false" customHeight="false" outlineLevel="0" collapsed="false">
      <c r="A117" s="9"/>
      <c r="B117" s="9"/>
      <c r="C117" s="22"/>
      <c r="D117" s="5" t="n">
        <f aca="false">IFERROR(VLOOKUP(B117,'كتالوج المنتجات والتسعير'!$A$7:$J$36,8,FALSE()),0)</f>
        <v>0</v>
      </c>
      <c r="E117" s="5" t="n">
        <f aca="false">IFERROR(VLOOKUP(B117,'كتالوج المنتجات والتسعير'!$A$7:$J$36,7,FALSE()),0)</f>
        <v>0</v>
      </c>
      <c r="F117" s="5" t="n">
        <f aca="false">IFERROR(VLOOKUP(B117,'كتالوج المنتجات والتسعير'!$A$7:$J$36,6,FALSE()),0)</f>
        <v>0</v>
      </c>
      <c r="G117" s="5" t="n">
        <f aca="false">C117*D117</f>
        <v>0</v>
      </c>
      <c r="H117" s="5" t="n">
        <f aca="false">C117*E117</f>
        <v>0</v>
      </c>
      <c r="I117" s="5" t="n">
        <f aca="false">C117*F117</f>
        <v>0</v>
      </c>
      <c r="J117" s="5" t="n">
        <f aca="false">G117-H117</f>
        <v>0</v>
      </c>
    </row>
    <row r="118" customFormat="false" ht="15" hidden="false" customHeight="false" outlineLevel="0" collapsed="false">
      <c r="A118" s="9"/>
      <c r="B118" s="9"/>
      <c r="C118" s="22"/>
      <c r="D118" s="5" t="n">
        <f aca="false">IFERROR(VLOOKUP(B118,'كتالوج المنتجات والتسعير'!$A$7:$J$36,8,FALSE()),0)</f>
        <v>0</v>
      </c>
      <c r="E118" s="5" t="n">
        <f aca="false">IFERROR(VLOOKUP(B118,'كتالوج المنتجات والتسعير'!$A$7:$J$36,7,FALSE()),0)</f>
        <v>0</v>
      </c>
      <c r="F118" s="5" t="n">
        <f aca="false">IFERROR(VLOOKUP(B118,'كتالوج المنتجات والتسعير'!$A$7:$J$36,6,FALSE()),0)</f>
        <v>0</v>
      </c>
      <c r="G118" s="5" t="n">
        <f aca="false">C118*D118</f>
        <v>0</v>
      </c>
      <c r="H118" s="5" t="n">
        <f aca="false">C118*E118</f>
        <v>0</v>
      </c>
      <c r="I118" s="5" t="n">
        <f aca="false">C118*F118</f>
        <v>0</v>
      </c>
      <c r="J118" s="5" t="n">
        <f aca="false">G118-H118</f>
        <v>0</v>
      </c>
    </row>
    <row r="119" customFormat="false" ht="15" hidden="false" customHeight="false" outlineLevel="0" collapsed="false">
      <c r="A119" s="9"/>
      <c r="B119" s="9"/>
      <c r="C119" s="22"/>
      <c r="D119" s="5" t="n">
        <f aca="false">IFERROR(VLOOKUP(B119,'كتالوج المنتجات والتسعير'!$A$7:$J$36,8,FALSE()),0)</f>
        <v>0</v>
      </c>
      <c r="E119" s="5" t="n">
        <f aca="false">IFERROR(VLOOKUP(B119,'كتالوج المنتجات والتسعير'!$A$7:$J$36,7,FALSE()),0)</f>
        <v>0</v>
      </c>
      <c r="F119" s="5" t="n">
        <f aca="false">IFERROR(VLOOKUP(B119,'كتالوج المنتجات والتسعير'!$A$7:$J$36,6,FALSE()),0)</f>
        <v>0</v>
      </c>
      <c r="G119" s="5" t="n">
        <f aca="false">C119*D119</f>
        <v>0</v>
      </c>
      <c r="H119" s="5" t="n">
        <f aca="false">C119*E119</f>
        <v>0</v>
      </c>
      <c r="I119" s="5" t="n">
        <f aca="false">C119*F119</f>
        <v>0</v>
      </c>
      <c r="J119" s="5" t="n">
        <f aca="false">G119-H119</f>
        <v>0</v>
      </c>
    </row>
    <row r="120" customFormat="false" ht="15" hidden="false" customHeight="false" outlineLevel="0" collapsed="false">
      <c r="A120" s="9"/>
      <c r="B120" s="9"/>
      <c r="C120" s="22"/>
      <c r="D120" s="5" t="n">
        <f aca="false">IFERROR(VLOOKUP(B120,'كتالوج المنتجات والتسعير'!$A$7:$J$36,8,FALSE()),0)</f>
        <v>0</v>
      </c>
      <c r="E120" s="5" t="n">
        <f aca="false">IFERROR(VLOOKUP(B120,'كتالوج المنتجات والتسعير'!$A$7:$J$36,7,FALSE()),0)</f>
        <v>0</v>
      </c>
      <c r="F120" s="5" t="n">
        <f aca="false">IFERROR(VLOOKUP(B120,'كتالوج المنتجات والتسعير'!$A$7:$J$36,6,FALSE()),0)</f>
        <v>0</v>
      </c>
      <c r="G120" s="5" t="n">
        <f aca="false">C120*D120</f>
        <v>0</v>
      </c>
      <c r="H120" s="5" t="n">
        <f aca="false">C120*E120</f>
        <v>0</v>
      </c>
      <c r="I120" s="5" t="n">
        <f aca="false">C120*F120</f>
        <v>0</v>
      </c>
      <c r="J120" s="5" t="n">
        <f aca="false">G120-H120</f>
        <v>0</v>
      </c>
    </row>
    <row r="121" customFormat="false" ht="15" hidden="false" customHeight="false" outlineLevel="0" collapsed="false">
      <c r="A121" s="9"/>
      <c r="B121" s="9"/>
      <c r="C121" s="22"/>
      <c r="D121" s="5" t="n">
        <f aca="false">IFERROR(VLOOKUP(B121,'كتالوج المنتجات والتسعير'!$A$7:$J$36,8,FALSE()),0)</f>
        <v>0</v>
      </c>
      <c r="E121" s="5" t="n">
        <f aca="false">IFERROR(VLOOKUP(B121,'كتالوج المنتجات والتسعير'!$A$7:$J$36,7,FALSE()),0)</f>
        <v>0</v>
      </c>
      <c r="F121" s="5" t="n">
        <f aca="false">IFERROR(VLOOKUP(B121,'كتالوج المنتجات والتسعير'!$A$7:$J$36,6,FALSE()),0)</f>
        <v>0</v>
      </c>
      <c r="G121" s="5" t="n">
        <f aca="false">C121*D121</f>
        <v>0</v>
      </c>
      <c r="H121" s="5" t="n">
        <f aca="false">C121*E121</f>
        <v>0</v>
      </c>
      <c r="I121" s="5" t="n">
        <f aca="false">C121*F121</f>
        <v>0</v>
      </c>
      <c r="J121" s="5" t="n">
        <f aca="false">G121-H121</f>
        <v>0</v>
      </c>
    </row>
    <row r="122" customFormat="false" ht="15" hidden="false" customHeight="false" outlineLevel="0" collapsed="false">
      <c r="A122" s="9"/>
      <c r="B122" s="9"/>
      <c r="C122" s="22"/>
      <c r="D122" s="5" t="n">
        <f aca="false">IFERROR(VLOOKUP(B122,'كتالوج المنتجات والتسعير'!$A$7:$J$36,8,FALSE()),0)</f>
        <v>0</v>
      </c>
      <c r="E122" s="5" t="n">
        <f aca="false">IFERROR(VLOOKUP(B122,'كتالوج المنتجات والتسعير'!$A$7:$J$36,7,FALSE()),0)</f>
        <v>0</v>
      </c>
      <c r="F122" s="5" t="n">
        <f aca="false">IFERROR(VLOOKUP(B122,'كتالوج المنتجات والتسعير'!$A$7:$J$36,6,FALSE()),0)</f>
        <v>0</v>
      </c>
      <c r="G122" s="5" t="n">
        <f aca="false">C122*D122</f>
        <v>0</v>
      </c>
      <c r="H122" s="5" t="n">
        <f aca="false">C122*E122</f>
        <v>0</v>
      </c>
      <c r="I122" s="5" t="n">
        <f aca="false">C122*F122</f>
        <v>0</v>
      </c>
      <c r="J122" s="5" t="n">
        <f aca="false">G122-H122</f>
        <v>0</v>
      </c>
    </row>
    <row r="123" customFormat="false" ht="15" hidden="false" customHeight="false" outlineLevel="0" collapsed="false">
      <c r="A123" s="9"/>
      <c r="B123" s="9"/>
      <c r="C123" s="22"/>
      <c r="D123" s="5" t="n">
        <f aca="false">IFERROR(VLOOKUP(B123,'كتالوج المنتجات والتسعير'!$A$7:$J$36,8,FALSE()),0)</f>
        <v>0</v>
      </c>
      <c r="E123" s="5" t="n">
        <f aca="false">IFERROR(VLOOKUP(B123,'كتالوج المنتجات والتسعير'!$A$7:$J$36,7,FALSE()),0)</f>
        <v>0</v>
      </c>
      <c r="F123" s="5" t="n">
        <f aca="false">IFERROR(VLOOKUP(B123,'كتالوج المنتجات والتسعير'!$A$7:$J$36,6,FALSE()),0)</f>
        <v>0</v>
      </c>
      <c r="G123" s="5" t="n">
        <f aca="false">C123*D123</f>
        <v>0</v>
      </c>
      <c r="H123" s="5" t="n">
        <f aca="false">C123*E123</f>
        <v>0</v>
      </c>
      <c r="I123" s="5" t="n">
        <f aca="false">C123*F123</f>
        <v>0</v>
      </c>
      <c r="J123" s="5" t="n">
        <f aca="false">G123-H123</f>
        <v>0</v>
      </c>
    </row>
    <row r="124" customFormat="false" ht="15" hidden="false" customHeight="false" outlineLevel="0" collapsed="false">
      <c r="A124" s="9"/>
      <c r="B124" s="9"/>
      <c r="C124" s="22"/>
      <c r="D124" s="5" t="n">
        <f aca="false">IFERROR(VLOOKUP(B124,'كتالوج المنتجات والتسعير'!$A$7:$J$36,8,FALSE()),0)</f>
        <v>0</v>
      </c>
      <c r="E124" s="5" t="n">
        <f aca="false">IFERROR(VLOOKUP(B124,'كتالوج المنتجات والتسعير'!$A$7:$J$36,7,FALSE()),0)</f>
        <v>0</v>
      </c>
      <c r="F124" s="5" t="n">
        <f aca="false">IFERROR(VLOOKUP(B124,'كتالوج المنتجات والتسعير'!$A$7:$J$36,6,FALSE()),0)</f>
        <v>0</v>
      </c>
      <c r="G124" s="5" t="n">
        <f aca="false">C124*D124</f>
        <v>0</v>
      </c>
      <c r="H124" s="5" t="n">
        <f aca="false">C124*E124</f>
        <v>0</v>
      </c>
      <c r="I124" s="5" t="n">
        <f aca="false">C124*F124</f>
        <v>0</v>
      </c>
      <c r="J124" s="5" t="n">
        <f aca="false">G124-H124</f>
        <v>0</v>
      </c>
    </row>
    <row r="125" customFormat="false" ht="15" hidden="false" customHeight="false" outlineLevel="0" collapsed="false">
      <c r="A125" s="9"/>
      <c r="B125" s="9"/>
      <c r="C125" s="22"/>
      <c r="D125" s="5" t="n">
        <f aca="false">IFERROR(VLOOKUP(B125,'كتالوج المنتجات والتسعير'!$A$7:$J$36,8,FALSE()),0)</f>
        <v>0</v>
      </c>
      <c r="E125" s="5" t="n">
        <f aca="false">IFERROR(VLOOKUP(B125,'كتالوج المنتجات والتسعير'!$A$7:$J$36,7,FALSE()),0)</f>
        <v>0</v>
      </c>
      <c r="F125" s="5" t="n">
        <f aca="false">IFERROR(VLOOKUP(B125,'كتالوج المنتجات والتسعير'!$A$7:$J$36,6,FALSE()),0)</f>
        <v>0</v>
      </c>
      <c r="G125" s="5" t="n">
        <f aca="false">C125*D125</f>
        <v>0</v>
      </c>
      <c r="H125" s="5" t="n">
        <f aca="false">C125*E125</f>
        <v>0</v>
      </c>
      <c r="I125" s="5" t="n">
        <f aca="false">C125*F125</f>
        <v>0</v>
      </c>
      <c r="J125" s="5" t="n">
        <f aca="false">G125-H125</f>
        <v>0</v>
      </c>
    </row>
    <row r="126" customFormat="false" ht="15" hidden="false" customHeight="false" outlineLevel="0" collapsed="false">
      <c r="A126" s="9"/>
      <c r="B126" s="9"/>
      <c r="C126" s="22"/>
      <c r="D126" s="5" t="n">
        <f aca="false">IFERROR(VLOOKUP(B126,'كتالوج المنتجات والتسعير'!$A$7:$J$36,8,FALSE()),0)</f>
        <v>0</v>
      </c>
      <c r="E126" s="5" t="n">
        <f aca="false">IFERROR(VLOOKUP(B126,'كتالوج المنتجات والتسعير'!$A$7:$J$36,7,FALSE()),0)</f>
        <v>0</v>
      </c>
      <c r="F126" s="5" t="n">
        <f aca="false">IFERROR(VLOOKUP(B126,'كتالوج المنتجات والتسعير'!$A$7:$J$36,6,FALSE()),0)</f>
        <v>0</v>
      </c>
      <c r="G126" s="5" t="n">
        <f aca="false">C126*D126</f>
        <v>0</v>
      </c>
      <c r="H126" s="5" t="n">
        <f aca="false">C126*E126</f>
        <v>0</v>
      </c>
      <c r="I126" s="5" t="n">
        <f aca="false">C126*F126</f>
        <v>0</v>
      </c>
      <c r="J126" s="5" t="n">
        <f aca="false">G126-H126</f>
        <v>0</v>
      </c>
    </row>
    <row r="127" customFormat="false" ht="15" hidden="false" customHeight="false" outlineLevel="0" collapsed="false">
      <c r="A127" s="9"/>
      <c r="B127" s="9"/>
      <c r="C127" s="22"/>
      <c r="D127" s="5" t="n">
        <f aca="false">IFERROR(VLOOKUP(B127,'كتالوج المنتجات والتسعير'!$A$7:$J$36,8,FALSE()),0)</f>
        <v>0</v>
      </c>
      <c r="E127" s="5" t="n">
        <f aca="false">IFERROR(VLOOKUP(B127,'كتالوج المنتجات والتسعير'!$A$7:$J$36,7,FALSE()),0)</f>
        <v>0</v>
      </c>
      <c r="F127" s="5" t="n">
        <f aca="false">IFERROR(VLOOKUP(B127,'كتالوج المنتجات والتسعير'!$A$7:$J$36,6,FALSE()),0)</f>
        <v>0</v>
      </c>
      <c r="G127" s="5" t="n">
        <f aca="false">C127*D127</f>
        <v>0</v>
      </c>
      <c r="H127" s="5" t="n">
        <f aca="false">C127*E127</f>
        <v>0</v>
      </c>
      <c r="I127" s="5" t="n">
        <f aca="false">C127*F127</f>
        <v>0</v>
      </c>
      <c r="J127" s="5" t="n">
        <f aca="false">G127-H127</f>
        <v>0</v>
      </c>
    </row>
    <row r="128" customFormat="false" ht="15" hidden="false" customHeight="false" outlineLevel="0" collapsed="false">
      <c r="A128" s="9"/>
      <c r="B128" s="9"/>
      <c r="C128" s="22"/>
      <c r="D128" s="5" t="n">
        <f aca="false">IFERROR(VLOOKUP(B128,'كتالوج المنتجات والتسعير'!$A$7:$J$36,8,FALSE()),0)</f>
        <v>0</v>
      </c>
      <c r="E128" s="5" t="n">
        <f aca="false">IFERROR(VLOOKUP(B128,'كتالوج المنتجات والتسعير'!$A$7:$J$36,7,FALSE()),0)</f>
        <v>0</v>
      </c>
      <c r="F128" s="5" t="n">
        <f aca="false">IFERROR(VLOOKUP(B128,'كتالوج المنتجات والتسعير'!$A$7:$J$36,6,FALSE()),0)</f>
        <v>0</v>
      </c>
      <c r="G128" s="5" t="n">
        <f aca="false">C128*D128</f>
        <v>0</v>
      </c>
      <c r="H128" s="5" t="n">
        <f aca="false">C128*E128</f>
        <v>0</v>
      </c>
      <c r="I128" s="5" t="n">
        <f aca="false">C128*F128</f>
        <v>0</v>
      </c>
      <c r="J128" s="5" t="n">
        <f aca="false">G128-H128</f>
        <v>0</v>
      </c>
    </row>
    <row r="129" customFormat="false" ht="15" hidden="false" customHeight="false" outlineLevel="0" collapsed="false">
      <c r="A129" s="9"/>
      <c r="B129" s="9"/>
      <c r="C129" s="22"/>
      <c r="D129" s="5" t="n">
        <f aca="false">IFERROR(VLOOKUP(B129,'كتالوج المنتجات والتسعير'!$A$7:$J$36,8,FALSE()),0)</f>
        <v>0</v>
      </c>
      <c r="E129" s="5" t="n">
        <f aca="false">IFERROR(VLOOKUP(B129,'كتالوج المنتجات والتسعير'!$A$7:$J$36,7,FALSE()),0)</f>
        <v>0</v>
      </c>
      <c r="F129" s="5" t="n">
        <f aca="false">IFERROR(VLOOKUP(B129,'كتالوج المنتجات والتسعير'!$A$7:$J$36,6,FALSE()),0)</f>
        <v>0</v>
      </c>
      <c r="G129" s="5" t="n">
        <f aca="false">C129*D129</f>
        <v>0</v>
      </c>
      <c r="H129" s="5" t="n">
        <f aca="false">C129*E129</f>
        <v>0</v>
      </c>
      <c r="I129" s="5" t="n">
        <f aca="false">C129*F129</f>
        <v>0</v>
      </c>
      <c r="J129" s="5" t="n">
        <f aca="false">G129-H129</f>
        <v>0</v>
      </c>
    </row>
    <row r="130" customFormat="false" ht="15" hidden="false" customHeight="false" outlineLevel="0" collapsed="false">
      <c r="A130" s="9"/>
      <c r="B130" s="9"/>
      <c r="C130" s="22"/>
      <c r="D130" s="5" t="n">
        <f aca="false">IFERROR(VLOOKUP(B130,'كتالوج المنتجات والتسعير'!$A$7:$J$36,8,FALSE()),0)</f>
        <v>0</v>
      </c>
      <c r="E130" s="5" t="n">
        <f aca="false">IFERROR(VLOOKUP(B130,'كتالوج المنتجات والتسعير'!$A$7:$J$36,7,FALSE()),0)</f>
        <v>0</v>
      </c>
      <c r="F130" s="5" t="n">
        <f aca="false">IFERROR(VLOOKUP(B130,'كتالوج المنتجات والتسعير'!$A$7:$J$36,6,FALSE()),0)</f>
        <v>0</v>
      </c>
      <c r="G130" s="5" t="n">
        <f aca="false">C130*D130</f>
        <v>0</v>
      </c>
      <c r="H130" s="5" t="n">
        <f aca="false">C130*E130</f>
        <v>0</v>
      </c>
      <c r="I130" s="5" t="n">
        <f aca="false">C130*F130</f>
        <v>0</v>
      </c>
      <c r="J130" s="5" t="n">
        <f aca="false">G130-H130</f>
        <v>0</v>
      </c>
    </row>
    <row r="131" customFormat="false" ht="15" hidden="false" customHeight="false" outlineLevel="0" collapsed="false">
      <c r="A131" s="9"/>
      <c r="B131" s="9"/>
      <c r="C131" s="22"/>
      <c r="D131" s="5" t="n">
        <f aca="false">IFERROR(VLOOKUP(B131,'كتالوج المنتجات والتسعير'!$A$7:$J$36,8,FALSE()),0)</f>
        <v>0</v>
      </c>
      <c r="E131" s="5" t="n">
        <f aca="false">IFERROR(VLOOKUP(B131,'كتالوج المنتجات والتسعير'!$A$7:$J$36,7,FALSE()),0)</f>
        <v>0</v>
      </c>
      <c r="F131" s="5" t="n">
        <f aca="false">IFERROR(VLOOKUP(B131,'كتالوج المنتجات والتسعير'!$A$7:$J$36,6,FALSE()),0)</f>
        <v>0</v>
      </c>
      <c r="G131" s="5" t="n">
        <f aca="false">C131*D131</f>
        <v>0</v>
      </c>
      <c r="H131" s="5" t="n">
        <f aca="false">C131*E131</f>
        <v>0</v>
      </c>
      <c r="I131" s="5" t="n">
        <f aca="false">C131*F131</f>
        <v>0</v>
      </c>
      <c r="J131" s="5" t="n">
        <f aca="false">G131-H131</f>
        <v>0</v>
      </c>
    </row>
    <row r="132" customFormat="false" ht="15" hidden="false" customHeight="false" outlineLevel="0" collapsed="false">
      <c r="A132" s="9"/>
      <c r="B132" s="9"/>
      <c r="C132" s="22"/>
      <c r="D132" s="5" t="n">
        <f aca="false">IFERROR(VLOOKUP(B132,'كتالوج المنتجات والتسعير'!$A$7:$J$36,8,FALSE()),0)</f>
        <v>0</v>
      </c>
      <c r="E132" s="5" t="n">
        <f aca="false">IFERROR(VLOOKUP(B132,'كتالوج المنتجات والتسعير'!$A$7:$J$36,7,FALSE()),0)</f>
        <v>0</v>
      </c>
      <c r="F132" s="5" t="n">
        <f aca="false">IFERROR(VLOOKUP(B132,'كتالوج المنتجات والتسعير'!$A$7:$J$36,6,FALSE()),0)</f>
        <v>0</v>
      </c>
      <c r="G132" s="5" t="n">
        <f aca="false">C132*D132</f>
        <v>0</v>
      </c>
      <c r="H132" s="5" t="n">
        <f aca="false">C132*E132</f>
        <v>0</v>
      </c>
      <c r="I132" s="5" t="n">
        <f aca="false">C132*F132</f>
        <v>0</v>
      </c>
      <c r="J132" s="5" t="n">
        <f aca="false">G132-H132</f>
        <v>0</v>
      </c>
    </row>
    <row r="133" customFormat="false" ht="15" hidden="false" customHeight="false" outlineLevel="0" collapsed="false">
      <c r="A133" s="9"/>
      <c r="B133" s="9"/>
      <c r="C133" s="22"/>
      <c r="D133" s="5" t="n">
        <f aca="false">IFERROR(VLOOKUP(B133,'كتالوج المنتجات والتسعير'!$A$7:$J$36,8,FALSE()),0)</f>
        <v>0</v>
      </c>
      <c r="E133" s="5" t="n">
        <f aca="false">IFERROR(VLOOKUP(B133,'كتالوج المنتجات والتسعير'!$A$7:$J$36,7,FALSE()),0)</f>
        <v>0</v>
      </c>
      <c r="F133" s="5" t="n">
        <f aca="false">IFERROR(VLOOKUP(B133,'كتالوج المنتجات والتسعير'!$A$7:$J$36,6,FALSE()),0)</f>
        <v>0</v>
      </c>
      <c r="G133" s="5" t="n">
        <f aca="false">C133*D133</f>
        <v>0</v>
      </c>
      <c r="H133" s="5" t="n">
        <f aca="false">C133*E133</f>
        <v>0</v>
      </c>
      <c r="I133" s="5" t="n">
        <f aca="false">C133*F133</f>
        <v>0</v>
      </c>
      <c r="J133" s="5" t="n">
        <f aca="false">G133-H133</f>
        <v>0</v>
      </c>
    </row>
    <row r="134" customFormat="false" ht="15" hidden="false" customHeight="false" outlineLevel="0" collapsed="false">
      <c r="A134" s="9"/>
      <c r="B134" s="9"/>
      <c r="C134" s="22"/>
      <c r="D134" s="5" t="n">
        <f aca="false">IFERROR(VLOOKUP(B134,'كتالوج المنتجات والتسعير'!$A$7:$J$36,8,FALSE()),0)</f>
        <v>0</v>
      </c>
      <c r="E134" s="5" t="n">
        <f aca="false">IFERROR(VLOOKUP(B134,'كتالوج المنتجات والتسعير'!$A$7:$J$36,7,FALSE()),0)</f>
        <v>0</v>
      </c>
      <c r="F134" s="5" t="n">
        <f aca="false">IFERROR(VLOOKUP(B134,'كتالوج المنتجات والتسعير'!$A$7:$J$36,6,FALSE()),0)</f>
        <v>0</v>
      </c>
      <c r="G134" s="5" t="n">
        <f aca="false">C134*D134</f>
        <v>0</v>
      </c>
      <c r="H134" s="5" t="n">
        <f aca="false">C134*E134</f>
        <v>0</v>
      </c>
      <c r="I134" s="5" t="n">
        <f aca="false">C134*F134</f>
        <v>0</v>
      </c>
      <c r="J134" s="5" t="n">
        <f aca="false">G134-H134</f>
        <v>0</v>
      </c>
    </row>
    <row r="135" customFormat="false" ht="15" hidden="false" customHeight="false" outlineLevel="0" collapsed="false">
      <c r="A135" s="9"/>
      <c r="B135" s="9"/>
      <c r="C135" s="22"/>
      <c r="D135" s="5" t="n">
        <f aca="false">IFERROR(VLOOKUP(B135,'كتالوج المنتجات والتسعير'!$A$7:$J$36,8,FALSE()),0)</f>
        <v>0</v>
      </c>
      <c r="E135" s="5" t="n">
        <f aca="false">IFERROR(VLOOKUP(B135,'كتالوج المنتجات والتسعير'!$A$7:$J$36,7,FALSE()),0)</f>
        <v>0</v>
      </c>
      <c r="F135" s="5" t="n">
        <f aca="false">IFERROR(VLOOKUP(B135,'كتالوج المنتجات والتسعير'!$A$7:$J$36,6,FALSE()),0)</f>
        <v>0</v>
      </c>
      <c r="G135" s="5" t="n">
        <f aca="false">C135*D135</f>
        <v>0</v>
      </c>
      <c r="H135" s="5" t="n">
        <f aca="false">C135*E135</f>
        <v>0</v>
      </c>
      <c r="I135" s="5" t="n">
        <f aca="false">C135*F135</f>
        <v>0</v>
      </c>
      <c r="J135" s="5" t="n">
        <f aca="false">G135-H135</f>
        <v>0</v>
      </c>
    </row>
    <row r="136" customFormat="false" ht="15" hidden="false" customHeight="false" outlineLevel="0" collapsed="false">
      <c r="A136" s="9"/>
      <c r="B136" s="9"/>
      <c r="C136" s="22"/>
      <c r="D136" s="5" t="n">
        <f aca="false">IFERROR(VLOOKUP(B136,'كتالوج المنتجات والتسعير'!$A$7:$J$36,8,FALSE()),0)</f>
        <v>0</v>
      </c>
      <c r="E136" s="5" t="n">
        <f aca="false">IFERROR(VLOOKUP(B136,'كتالوج المنتجات والتسعير'!$A$7:$J$36,7,FALSE()),0)</f>
        <v>0</v>
      </c>
      <c r="F136" s="5" t="n">
        <f aca="false">IFERROR(VLOOKUP(B136,'كتالوج المنتجات والتسعير'!$A$7:$J$36,6,FALSE()),0)</f>
        <v>0</v>
      </c>
      <c r="G136" s="5" t="n">
        <f aca="false">C136*D136</f>
        <v>0</v>
      </c>
      <c r="H136" s="5" t="n">
        <f aca="false">C136*E136</f>
        <v>0</v>
      </c>
      <c r="I136" s="5" t="n">
        <f aca="false">C136*F136</f>
        <v>0</v>
      </c>
      <c r="J136" s="5" t="n">
        <f aca="false">G136-H136</f>
        <v>0</v>
      </c>
    </row>
    <row r="137" customFormat="false" ht="15" hidden="false" customHeight="false" outlineLevel="0" collapsed="false">
      <c r="A137" s="9"/>
      <c r="B137" s="9"/>
      <c r="C137" s="22"/>
      <c r="D137" s="5" t="n">
        <f aca="false">IFERROR(VLOOKUP(B137,'كتالوج المنتجات والتسعير'!$A$7:$J$36,8,FALSE()),0)</f>
        <v>0</v>
      </c>
      <c r="E137" s="5" t="n">
        <f aca="false">IFERROR(VLOOKUP(B137,'كتالوج المنتجات والتسعير'!$A$7:$J$36,7,FALSE()),0)</f>
        <v>0</v>
      </c>
      <c r="F137" s="5" t="n">
        <f aca="false">IFERROR(VLOOKUP(B137,'كتالوج المنتجات والتسعير'!$A$7:$J$36,6,FALSE()),0)</f>
        <v>0</v>
      </c>
      <c r="G137" s="5" t="n">
        <f aca="false">C137*D137</f>
        <v>0</v>
      </c>
      <c r="H137" s="5" t="n">
        <f aca="false">C137*E137</f>
        <v>0</v>
      </c>
      <c r="I137" s="5" t="n">
        <f aca="false">C137*F137</f>
        <v>0</v>
      </c>
      <c r="J137" s="5" t="n">
        <f aca="false">G137-H137</f>
        <v>0</v>
      </c>
    </row>
    <row r="138" customFormat="false" ht="15" hidden="false" customHeight="false" outlineLevel="0" collapsed="false">
      <c r="A138" s="9"/>
      <c r="B138" s="9"/>
      <c r="C138" s="22"/>
      <c r="D138" s="5" t="n">
        <f aca="false">IFERROR(VLOOKUP(B138,'كتالوج المنتجات والتسعير'!$A$7:$J$36,8,FALSE()),0)</f>
        <v>0</v>
      </c>
      <c r="E138" s="5" t="n">
        <f aca="false">IFERROR(VLOOKUP(B138,'كتالوج المنتجات والتسعير'!$A$7:$J$36,7,FALSE()),0)</f>
        <v>0</v>
      </c>
      <c r="F138" s="5" t="n">
        <f aca="false">IFERROR(VLOOKUP(B138,'كتالوج المنتجات والتسعير'!$A$7:$J$36,6,FALSE()),0)</f>
        <v>0</v>
      </c>
      <c r="G138" s="5" t="n">
        <f aca="false">C138*D138</f>
        <v>0</v>
      </c>
      <c r="H138" s="5" t="n">
        <f aca="false">C138*E138</f>
        <v>0</v>
      </c>
      <c r="I138" s="5" t="n">
        <f aca="false">C138*F138</f>
        <v>0</v>
      </c>
      <c r="J138" s="5" t="n">
        <f aca="false">G138-H138</f>
        <v>0</v>
      </c>
    </row>
    <row r="139" customFormat="false" ht="15" hidden="false" customHeight="false" outlineLevel="0" collapsed="false">
      <c r="A139" s="9"/>
      <c r="B139" s="9"/>
      <c r="C139" s="22"/>
      <c r="D139" s="5" t="n">
        <f aca="false">IFERROR(VLOOKUP(B139,'كتالوج المنتجات والتسعير'!$A$7:$J$36,8,FALSE()),0)</f>
        <v>0</v>
      </c>
      <c r="E139" s="5" t="n">
        <f aca="false">IFERROR(VLOOKUP(B139,'كتالوج المنتجات والتسعير'!$A$7:$J$36,7,FALSE()),0)</f>
        <v>0</v>
      </c>
      <c r="F139" s="5" t="n">
        <f aca="false">IFERROR(VLOOKUP(B139,'كتالوج المنتجات والتسعير'!$A$7:$J$36,6,FALSE()),0)</f>
        <v>0</v>
      </c>
      <c r="G139" s="5" t="n">
        <f aca="false">C139*D139</f>
        <v>0</v>
      </c>
      <c r="H139" s="5" t="n">
        <f aca="false">C139*E139</f>
        <v>0</v>
      </c>
      <c r="I139" s="5" t="n">
        <f aca="false">C139*F139</f>
        <v>0</v>
      </c>
      <c r="J139" s="5" t="n">
        <f aca="false">G139-H139</f>
        <v>0</v>
      </c>
    </row>
    <row r="140" customFormat="false" ht="15" hidden="false" customHeight="false" outlineLevel="0" collapsed="false">
      <c r="A140" s="9"/>
      <c r="B140" s="9"/>
      <c r="C140" s="22"/>
      <c r="D140" s="5" t="n">
        <f aca="false">IFERROR(VLOOKUP(B140,'كتالوج المنتجات والتسعير'!$A$7:$J$36,8,FALSE()),0)</f>
        <v>0</v>
      </c>
      <c r="E140" s="5" t="n">
        <f aca="false">IFERROR(VLOOKUP(B140,'كتالوج المنتجات والتسعير'!$A$7:$J$36,7,FALSE()),0)</f>
        <v>0</v>
      </c>
      <c r="F140" s="5" t="n">
        <f aca="false">IFERROR(VLOOKUP(B140,'كتالوج المنتجات والتسعير'!$A$7:$J$36,6,FALSE()),0)</f>
        <v>0</v>
      </c>
      <c r="G140" s="5" t="n">
        <f aca="false">C140*D140</f>
        <v>0</v>
      </c>
      <c r="H140" s="5" t="n">
        <f aca="false">C140*E140</f>
        <v>0</v>
      </c>
      <c r="I140" s="5" t="n">
        <f aca="false">C140*F140</f>
        <v>0</v>
      </c>
      <c r="J140" s="5" t="n">
        <f aca="false">G140-H140</f>
        <v>0</v>
      </c>
    </row>
    <row r="141" customFormat="false" ht="15" hidden="false" customHeight="false" outlineLevel="0" collapsed="false">
      <c r="A141" s="9"/>
      <c r="B141" s="9"/>
      <c r="C141" s="22"/>
      <c r="D141" s="5" t="n">
        <f aca="false">IFERROR(VLOOKUP(B141,'كتالوج المنتجات والتسعير'!$A$7:$J$36,8,FALSE()),0)</f>
        <v>0</v>
      </c>
      <c r="E141" s="5" t="n">
        <f aca="false">IFERROR(VLOOKUP(B141,'كتالوج المنتجات والتسعير'!$A$7:$J$36,7,FALSE()),0)</f>
        <v>0</v>
      </c>
      <c r="F141" s="5" t="n">
        <f aca="false">IFERROR(VLOOKUP(B141,'كتالوج المنتجات والتسعير'!$A$7:$J$36,6,FALSE()),0)</f>
        <v>0</v>
      </c>
      <c r="G141" s="5" t="n">
        <f aca="false">C141*D141</f>
        <v>0</v>
      </c>
      <c r="H141" s="5" t="n">
        <f aca="false">C141*E141</f>
        <v>0</v>
      </c>
      <c r="I141" s="5" t="n">
        <f aca="false">C141*F141</f>
        <v>0</v>
      </c>
      <c r="J141" s="5" t="n">
        <f aca="false">G141-H141</f>
        <v>0</v>
      </c>
    </row>
    <row r="142" customFormat="false" ht="15" hidden="false" customHeight="false" outlineLevel="0" collapsed="false">
      <c r="A142" s="9"/>
      <c r="B142" s="9"/>
      <c r="C142" s="22"/>
      <c r="D142" s="5" t="n">
        <f aca="false">IFERROR(VLOOKUP(B142,'كتالوج المنتجات والتسعير'!$A$7:$J$36,8,FALSE()),0)</f>
        <v>0</v>
      </c>
      <c r="E142" s="5" t="n">
        <f aca="false">IFERROR(VLOOKUP(B142,'كتالوج المنتجات والتسعير'!$A$7:$J$36,7,FALSE()),0)</f>
        <v>0</v>
      </c>
      <c r="F142" s="5" t="n">
        <f aca="false">IFERROR(VLOOKUP(B142,'كتالوج المنتجات والتسعير'!$A$7:$J$36,6,FALSE()),0)</f>
        <v>0</v>
      </c>
      <c r="G142" s="5" t="n">
        <f aca="false">C142*D142</f>
        <v>0</v>
      </c>
      <c r="H142" s="5" t="n">
        <f aca="false">C142*E142</f>
        <v>0</v>
      </c>
      <c r="I142" s="5" t="n">
        <f aca="false">C142*F142</f>
        <v>0</v>
      </c>
      <c r="J142" s="5" t="n">
        <f aca="false">G142-H142</f>
        <v>0</v>
      </c>
    </row>
    <row r="143" customFormat="false" ht="15" hidden="false" customHeight="false" outlineLevel="0" collapsed="false">
      <c r="A143" s="9"/>
      <c r="B143" s="9"/>
      <c r="C143" s="22"/>
      <c r="D143" s="5" t="n">
        <f aca="false">IFERROR(VLOOKUP(B143,'كتالوج المنتجات والتسعير'!$A$7:$J$36,8,FALSE()),0)</f>
        <v>0</v>
      </c>
      <c r="E143" s="5" t="n">
        <f aca="false">IFERROR(VLOOKUP(B143,'كتالوج المنتجات والتسعير'!$A$7:$J$36,7,FALSE()),0)</f>
        <v>0</v>
      </c>
      <c r="F143" s="5" t="n">
        <f aca="false">IFERROR(VLOOKUP(B143,'كتالوج المنتجات والتسعير'!$A$7:$J$36,6,FALSE()),0)</f>
        <v>0</v>
      </c>
      <c r="G143" s="5" t="n">
        <f aca="false">C143*D143</f>
        <v>0</v>
      </c>
      <c r="H143" s="5" t="n">
        <f aca="false">C143*E143</f>
        <v>0</v>
      </c>
      <c r="I143" s="5" t="n">
        <f aca="false">C143*F143</f>
        <v>0</v>
      </c>
      <c r="J143" s="5" t="n">
        <f aca="false">G143-H143</f>
        <v>0</v>
      </c>
    </row>
    <row r="144" customFormat="false" ht="15" hidden="false" customHeight="false" outlineLevel="0" collapsed="false">
      <c r="A144" s="9"/>
      <c r="B144" s="9"/>
      <c r="C144" s="22"/>
      <c r="D144" s="5" t="n">
        <f aca="false">IFERROR(VLOOKUP(B144,'كتالوج المنتجات والتسعير'!$A$7:$J$36,8,FALSE()),0)</f>
        <v>0</v>
      </c>
      <c r="E144" s="5" t="n">
        <f aca="false">IFERROR(VLOOKUP(B144,'كتالوج المنتجات والتسعير'!$A$7:$J$36,7,FALSE()),0)</f>
        <v>0</v>
      </c>
      <c r="F144" s="5" t="n">
        <f aca="false">IFERROR(VLOOKUP(B144,'كتالوج المنتجات والتسعير'!$A$7:$J$36,6,FALSE()),0)</f>
        <v>0</v>
      </c>
      <c r="G144" s="5" t="n">
        <f aca="false">C144*D144</f>
        <v>0</v>
      </c>
      <c r="H144" s="5" t="n">
        <f aca="false">C144*E144</f>
        <v>0</v>
      </c>
      <c r="I144" s="5" t="n">
        <f aca="false">C144*F144</f>
        <v>0</v>
      </c>
      <c r="J144" s="5" t="n">
        <f aca="false">G144-H144</f>
        <v>0</v>
      </c>
    </row>
    <row r="145" customFormat="false" ht="15" hidden="false" customHeight="false" outlineLevel="0" collapsed="false">
      <c r="A145" s="9"/>
      <c r="B145" s="9"/>
      <c r="C145" s="22"/>
      <c r="D145" s="5" t="n">
        <f aca="false">IFERROR(VLOOKUP(B145,'كتالوج المنتجات والتسعير'!$A$7:$J$36,8,FALSE()),0)</f>
        <v>0</v>
      </c>
      <c r="E145" s="5" t="n">
        <f aca="false">IFERROR(VLOOKUP(B145,'كتالوج المنتجات والتسعير'!$A$7:$J$36,7,FALSE()),0)</f>
        <v>0</v>
      </c>
      <c r="F145" s="5" t="n">
        <f aca="false">IFERROR(VLOOKUP(B145,'كتالوج المنتجات والتسعير'!$A$7:$J$36,6,FALSE()),0)</f>
        <v>0</v>
      </c>
      <c r="G145" s="5" t="n">
        <f aca="false">C145*D145</f>
        <v>0</v>
      </c>
      <c r="H145" s="5" t="n">
        <f aca="false">C145*E145</f>
        <v>0</v>
      </c>
      <c r="I145" s="5" t="n">
        <f aca="false">C145*F145</f>
        <v>0</v>
      </c>
      <c r="J145" s="5" t="n">
        <f aca="false">G145-H145</f>
        <v>0</v>
      </c>
    </row>
    <row r="146" customFormat="false" ht="15" hidden="false" customHeight="false" outlineLevel="0" collapsed="false">
      <c r="A146" s="9"/>
      <c r="B146" s="9"/>
      <c r="C146" s="22"/>
      <c r="D146" s="5" t="n">
        <f aca="false">IFERROR(VLOOKUP(B146,'كتالوج المنتجات والتسعير'!$A$7:$J$36,8,FALSE()),0)</f>
        <v>0</v>
      </c>
      <c r="E146" s="5" t="n">
        <f aca="false">IFERROR(VLOOKUP(B146,'كتالوج المنتجات والتسعير'!$A$7:$J$36,7,FALSE()),0)</f>
        <v>0</v>
      </c>
      <c r="F146" s="5" t="n">
        <f aca="false">IFERROR(VLOOKUP(B146,'كتالوج المنتجات والتسعير'!$A$7:$J$36,6,FALSE()),0)</f>
        <v>0</v>
      </c>
      <c r="G146" s="5" t="n">
        <f aca="false">C146*D146</f>
        <v>0</v>
      </c>
      <c r="H146" s="5" t="n">
        <f aca="false">C146*E146</f>
        <v>0</v>
      </c>
      <c r="I146" s="5" t="n">
        <f aca="false">C146*F146</f>
        <v>0</v>
      </c>
      <c r="J146" s="5" t="n">
        <f aca="false">G146-H146</f>
        <v>0</v>
      </c>
    </row>
    <row r="147" customFormat="false" ht="15" hidden="false" customHeight="false" outlineLevel="0" collapsed="false">
      <c r="A147" s="9"/>
      <c r="B147" s="9"/>
      <c r="C147" s="22"/>
      <c r="D147" s="5" t="n">
        <f aca="false">IFERROR(VLOOKUP(B147,'كتالوج المنتجات والتسعير'!$A$7:$J$36,8,FALSE()),0)</f>
        <v>0</v>
      </c>
      <c r="E147" s="5" t="n">
        <f aca="false">IFERROR(VLOOKUP(B147,'كتالوج المنتجات والتسعير'!$A$7:$J$36,7,FALSE()),0)</f>
        <v>0</v>
      </c>
      <c r="F147" s="5" t="n">
        <f aca="false">IFERROR(VLOOKUP(B147,'كتالوج المنتجات والتسعير'!$A$7:$J$36,6,FALSE()),0)</f>
        <v>0</v>
      </c>
      <c r="G147" s="5" t="n">
        <f aca="false">C147*D147</f>
        <v>0</v>
      </c>
      <c r="H147" s="5" t="n">
        <f aca="false">C147*E147</f>
        <v>0</v>
      </c>
      <c r="I147" s="5" t="n">
        <f aca="false">C147*F147</f>
        <v>0</v>
      </c>
      <c r="J147" s="5" t="n">
        <f aca="false">G147-H147</f>
        <v>0</v>
      </c>
    </row>
    <row r="148" customFormat="false" ht="15" hidden="false" customHeight="false" outlineLevel="0" collapsed="false">
      <c r="A148" s="9"/>
      <c r="B148" s="9"/>
      <c r="C148" s="22"/>
      <c r="D148" s="5" t="n">
        <f aca="false">IFERROR(VLOOKUP(B148,'كتالوج المنتجات والتسعير'!$A$7:$J$36,8,FALSE()),0)</f>
        <v>0</v>
      </c>
      <c r="E148" s="5" t="n">
        <f aca="false">IFERROR(VLOOKUP(B148,'كتالوج المنتجات والتسعير'!$A$7:$J$36,7,FALSE()),0)</f>
        <v>0</v>
      </c>
      <c r="F148" s="5" t="n">
        <f aca="false">IFERROR(VLOOKUP(B148,'كتالوج المنتجات والتسعير'!$A$7:$J$36,6,FALSE()),0)</f>
        <v>0</v>
      </c>
      <c r="G148" s="5" t="n">
        <f aca="false">C148*D148</f>
        <v>0</v>
      </c>
      <c r="H148" s="5" t="n">
        <f aca="false">C148*E148</f>
        <v>0</v>
      </c>
      <c r="I148" s="5" t="n">
        <f aca="false">C148*F148</f>
        <v>0</v>
      </c>
      <c r="J148" s="5" t="n">
        <f aca="false">G148-H148</f>
        <v>0</v>
      </c>
    </row>
    <row r="149" customFormat="false" ht="15" hidden="false" customHeight="false" outlineLevel="0" collapsed="false">
      <c r="A149" s="9"/>
      <c r="B149" s="9"/>
      <c r="C149" s="22"/>
      <c r="D149" s="5" t="n">
        <f aca="false">IFERROR(VLOOKUP(B149,'كتالوج المنتجات والتسعير'!$A$7:$J$36,8,FALSE()),0)</f>
        <v>0</v>
      </c>
      <c r="E149" s="5" t="n">
        <f aca="false">IFERROR(VLOOKUP(B149,'كتالوج المنتجات والتسعير'!$A$7:$J$36,7,FALSE()),0)</f>
        <v>0</v>
      </c>
      <c r="F149" s="5" t="n">
        <f aca="false">IFERROR(VLOOKUP(B149,'كتالوج المنتجات والتسعير'!$A$7:$J$36,6,FALSE()),0)</f>
        <v>0</v>
      </c>
      <c r="G149" s="5" t="n">
        <f aca="false">C149*D149</f>
        <v>0</v>
      </c>
      <c r="H149" s="5" t="n">
        <f aca="false">C149*E149</f>
        <v>0</v>
      </c>
      <c r="I149" s="5" t="n">
        <f aca="false">C149*F149</f>
        <v>0</v>
      </c>
      <c r="J149" s="5" t="n">
        <f aca="false">G149-H149</f>
        <v>0</v>
      </c>
    </row>
    <row r="150" customFormat="false" ht="15" hidden="false" customHeight="false" outlineLevel="0" collapsed="false">
      <c r="A150" s="9"/>
      <c r="B150" s="9"/>
      <c r="C150" s="22"/>
      <c r="D150" s="5" t="n">
        <f aca="false">IFERROR(VLOOKUP(B150,'كتالوج المنتجات والتسعير'!$A$7:$J$36,8,FALSE()),0)</f>
        <v>0</v>
      </c>
      <c r="E150" s="5" t="n">
        <f aca="false">IFERROR(VLOOKUP(B150,'كتالوج المنتجات والتسعير'!$A$7:$J$36,7,FALSE()),0)</f>
        <v>0</v>
      </c>
      <c r="F150" s="5" t="n">
        <f aca="false">IFERROR(VLOOKUP(B150,'كتالوج المنتجات والتسعير'!$A$7:$J$36,6,FALSE()),0)</f>
        <v>0</v>
      </c>
      <c r="G150" s="5" t="n">
        <f aca="false">C150*D150</f>
        <v>0</v>
      </c>
      <c r="H150" s="5" t="n">
        <f aca="false">C150*E150</f>
        <v>0</v>
      </c>
      <c r="I150" s="5" t="n">
        <f aca="false">C150*F150</f>
        <v>0</v>
      </c>
      <c r="J150" s="5" t="n">
        <f aca="false">G150-H150</f>
        <v>0</v>
      </c>
    </row>
    <row r="151" customFormat="false" ht="15" hidden="false" customHeight="false" outlineLevel="0" collapsed="false">
      <c r="A151" s="9"/>
      <c r="B151" s="9"/>
      <c r="C151" s="22"/>
      <c r="D151" s="5" t="n">
        <f aca="false">IFERROR(VLOOKUP(B151,'كتالوج المنتجات والتسعير'!$A$7:$J$36,8,FALSE()),0)</f>
        <v>0</v>
      </c>
      <c r="E151" s="5" t="n">
        <f aca="false">IFERROR(VLOOKUP(B151,'كتالوج المنتجات والتسعير'!$A$7:$J$36,7,FALSE()),0)</f>
        <v>0</v>
      </c>
      <c r="F151" s="5" t="n">
        <f aca="false">IFERROR(VLOOKUP(B151,'كتالوج المنتجات والتسعير'!$A$7:$J$36,6,FALSE()),0)</f>
        <v>0</v>
      </c>
      <c r="G151" s="5" t="n">
        <f aca="false">C151*D151</f>
        <v>0</v>
      </c>
      <c r="H151" s="5" t="n">
        <f aca="false">C151*E151</f>
        <v>0</v>
      </c>
      <c r="I151" s="5" t="n">
        <f aca="false">C151*F151</f>
        <v>0</v>
      </c>
      <c r="J151" s="5" t="n">
        <f aca="false">G151-H151</f>
        <v>0</v>
      </c>
    </row>
    <row r="152" customFormat="false" ht="15" hidden="false" customHeight="false" outlineLevel="0" collapsed="false">
      <c r="A152" s="9"/>
      <c r="B152" s="9"/>
      <c r="C152" s="22"/>
      <c r="D152" s="5" t="n">
        <f aca="false">IFERROR(VLOOKUP(B152,'كتالوج المنتجات والتسعير'!$A$7:$J$36,8,FALSE()),0)</f>
        <v>0</v>
      </c>
      <c r="E152" s="5" t="n">
        <f aca="false">IFERROR(VLOOKUP(B152,'كتالوج المنتجات والتسعير'!$A$7:$J$36,7,FALSE()),0)</f>
        <v>0</v>
      </c>
      <c r="F152" s="5" t="n">
        <f aca="false">IFERROR(VLOOKUP(B152,'كتالوج المنتجات والتسعير'!$A$7:$J$36,6,FALSE()),0)</f>
        <v>0</v>
      </c>
      <c r="G152" s="5" t="n">
        <f aca="false">C152*D152</f>
        <v>0</v>
      </c>
      <c r="H152" s="5" t="n">
        <f aca="false">C152*E152</f>
        <v>0</v>
      </c>
      <c r="I152" s="5" t="n">
        <f aca="false">C152*F152</f>
        <v>0</v>
      </c>
      <c r="J152" s="5" t="n">
        <f aca="false">G152-H152</f>
        <v>0</v>
      </c>
    </row>
    <row r="153" customFormat="false" ht="15" hidden="false" customHeight="false" outlineLevel="0" collapsed="false">
      <c r="A153" s="9"/>
      <c r="B153" s="9"/>
      <c r="C153" s="22"/>
      <c r="D153" s="5" t="n">
        <f aca="false">IFERROR(VLOOKUP(B153,'كتالوج المنتجات والتسعير'!$A$7:$J$36,8,FALSE()),0)</f>
        <v>0</v>
      </c>
      <c r="E153" s="5" t="n">
        <f aca="false">IFERROR(VLOOKUP(B153,'كتالوج المنتجات والتسعير'!$A$7:$J$36,7,FALSE()),0)</f>
        <v>0</v>
      </c>
      <c r="F153" s="5" t="n">
        <f aca="false">IFERROR(VLOOKUP(B153,'كتالوج المنتجات والتسعير'!$A$7:$J$36,6,FALSE()),0)</f>
        <v>0</v>
      </c>
      <c r="G153" s="5" t="n">
        <f aca="false">C153*D153</f>
        <v>0</v>
      </c>
      <c r="H153" s="5" t="n">
        <f aca="false">C153*E153</f>
        <v>0</v>
      </c>
      <c r="I153" s="5" t="n">
        <f aca="false">C153*F153</f>
        <v>0</v>
      </c>
      <c r="J153" s="5" t="n">
        <f aca="false">G153-H153</f>
        <v>0</v>
      </c>
    </row>
    <row r="154" customFormat="false" ht="15" hidden="false" customHeight="false" outlineLevel="0" collapsed="false">
      <c r="A154" s="9"/>
      <c r="B154" s="9"/>
      <c r="C154" s="22"/>
      <c r="D154" s="5" t="n">
        <f aca="false">IFERROR(VLOOKUP(B154,'كتالوج المنتجات والتسعير'!$A$7:$J$36,8,FALSE()),0)</f>
        <v>0</v>
      </c>
      <c r="E154" s="5" t="n">
        <f aca="false">IFERROR(VLOOKUP(B154,'كتالوج المنتجات والتسعير'!$A$7:$J$36,7,FALSE()),0)</f>
        <v>0</v>
      </c>
      <c r="F154" s="5" t="n">
        <f aca="false">IFERROR(VLOOKUP(B154,'كتالوج المنتجات والتسعير'!$A$7:$J$36,6,FALSE()),0)</f>
        <v>0</v>
      </c>
      <c r="G154" s="5" t="n">
        <f aca="false">C154*D154</f>
        <v>0</v>
      </c>
      <c r="H154" s="5" t="n">
        <f aca="false">C154*E154</f>
        <v>0</v>
      </c>
      <c r="I154" s="5" t="n">
        <f aca="false">C154*F154</f>
        <v>0</v>
      </c>
      <c r="J154" s="5" t="n">
        <f aca="false">G154-H154</f>
        <v>0</v>
      </c>
    </row>
    <row r="155" customFormat="false" ht="15" hidden="false" customHeight="false" outlineLevel="0" collapsed="false">
      <c r="A155" s="9"/>
      <c r="B155" s="9"/>
      <c r="C155" s="22"/>
      <c r="D155" s="5" t="n">
        <f aca="false">IFERROR(VLOOKUP(B155,'كتالوج المنتجات والتسعير'!$A$7:$J$36,8,FALSE()),0)</f>
        <v>0</v>
      </c>
      <c r="E155" s="5" t="n">
        <f aca="false">IFERROR(VLOOKUP(B155,'كتالوج المنتجات والتسعير'!$A$7:$J$36,7,FALSE()),0)</f>
        <v>0</v>
      </c>
      <c r="F155" s="5" t="n">
        <f aca="false">IFERROR(VLOOKUP(B155,'كتالوج المنتجات والتسعير'!$A$7:$J$36,6,FALSE()),0)</f>
        <v>0</v>
      </c>
      <c r="G155" s="5" t="n">
        <f aca="false">C155*D155</f>
        <v>0</v>
      </c>
      <c r="H155" s="5" t="n">
        <f aca="false">C155*E155</f>
        <v>0</v>
      </c>
      <c r="I155" s="5" t="n">
        <f aca="false">C155*F155</f>
        <v>0</v>
      </c>
      <c r="J155" s="5" t="n">
        <f aca="false">G155-H155</f>
        <v>0</v>
      </c>
    </row>
    <row r="156" customFormat="false" ht="15" hidden="false" customHeight="false" outlineLevel="0" collapsed="false">
      <c r="A156" s="9"/>
      <c r="B156" s="9"/>
      <c r="C156" s="22"/>
      <c r="D156" s="5" t="n">
        <f aca="false">IFERROR(VLOOKUP(B156,'كتالوج المنتجات والتسعير'!$A$7:$J$36,8,FALSE()),0)</f>
        <v>0</v>
      </c>
      <c r="E156" s="5" t="n">
        <f aca="false">IFERROR(VLOOKUP(B156,'كتالوج المنتجات والتسعير'!$A$7:$J$36,7,FALSE()),0)</f>
        <v>0</v>
      </c>
      <c r="F156" s="5" t="n">
        <f aca="false">IFERROR(VLOOKUP(B156,'كتالوج المنتجات والتسعير'!$A$7:$J$36,6,FALSE()),0)</f>
        <v>0</v>
      </c>
      <c r="G156" s="5" t="n">
        <f aca="false">C156*D156</f>
        <v>0</v>
      </c>
      <c r="H156" s="5" t="n">
        <f aca="false">C156*E156</f>
        <v>0</v>
      </c>
      <c r="I156" s="5" t="n">
        <f aca="false">C156*F156</f>
        <v>0</v>
      </c>
      <c r="J156" s="5" t="n">
        <f aca="false">G156-H156</f>
        <v>0</v>
      </c>
    </row>
    <row r="157" customFormat="false" ht="15" hidden="false" customHeight="false" outlineLevel="0" collapsed="false">
      <c r="A157" s="9"/>
      <c r="B157" s="9"/>
      <c r="C157" s="22"/>
      <c r="D157" s="5" t="n">
        <f aca="false">IFERROR(VLOOKUP(B157,'كتالوج المنتجات والتسعير'!$A$7:$J$36,8,FALSE()),0)</f>
        <v>0</v>
      </c>
      <c r="E157" s="5" t="n">
        <f aca="false">IFERROR(VLOOKUP(B157,'كتالوج المنتجات والتسعير'!$A$7:$J$36,7,FALSE()),0)</f>
        <v>0</v>
      </c>
      <c r="F157" s="5" t="n">
        <f aca="false">IFERROR(VLOOKUP(B157,'كتالوج المنتجات والتسعير'!$A$7:$J$36,6,FALSE()),0)</f>
        <v>0</v>
      </c>
      <c r="G157" s="5" t="n">
        <f aca="false">C157*D157</f>
        <v>0</v>
      </c>
      <c r="H157" s="5" t="n">
        <f aca="false">C157*E157</f>
        <v>0</v>
      </c>
      <c r="I157" s="5" t="n">
        <f aca="false">C157*F157</f>
        <v>0</v>
      </c>
      <c r="J157" s="5" t="n">
        <f aca="false">G157-H157</f>
        <v>0</v>
      </c>
    </row>
    <row r="158" customFormat="false" ht="15" hidden="false" customHeight="false" outlineLevel="0" collapsed="false">
      <c r="A158" s="9"/>
      <c r="B158" s="9"/>
      <c r="C158" s="22"/>
      <c r="D158" s="5" t="n">
        <f aca="false">IFERROR(VLOOKUP(B158,'كتالوج المنتجات والتسعير'!$A$7:$J$36,8,FALSE()),0)</f>
        <v>0</v>
      </c>
      <c r="E158" s="5" t="n">
        <f aca="false">IFERROR(VLOOKUP(B158,'كتالوج المنتجات والتسعير'!$A$7:$J$36,7,FALSE()),0)</f>
        <v>0</v>
      </c>
      <c r="F158" s="5" t="n">
        <f aca="false">IFERROR(VLOOKUP(B158,'كتالوج المنتجات والتسعير'!$A$7:$J$36,6,FALSE()),0)</f>
        <v>0</v>
      </c>
      <c r="G158" s="5" t="n">
        <f aca="false">C158*D158</f>
        <v>0</v>
      </c>
      <c r="H158" s="5" t="n">
        <f aca="false">C158*E158</f>
        <v>0</v>
      </c>
      <c r="I158" s="5" t="n">
        <f aca="false">C158*F158</f>
        <v>0</v>
      </c>
      <c r="J158" s="5" t="n">
        <f aca="false">G158-H158</f>
        <v>0</v>
      </c>
    </row>
    <row r="159" customFormat="false" ht="15" hidden="false" customHeight="false" outlineLevel="0" collapsed="false">
      <c r="A159" s="9"/>
      <c r="B159" s="9"/>
      <c r="C159" s="22"/>
      <c r="D159" s="5" t="n">
        <f aca="false">IFERROR(VLOOKUP(B159,'كتالوج المنتجات والتسعير'!$A$7:$J$36,8,FALSE()),0)</f>
        <v>0</v>
      </c>
      <c r="E159" s="5" t="n">
        <f aca="false">IFERROR(VLOOKUP(B159,'كتالوج المنتجات والتسعير'!$A$7:$J$36,7,FALSE()),0)</f>
        <v>0</v>
      </c>
      <c r="F159" s="5" t="n">
        <f aca="false">IFERROR(VLOOKUP(B159,'كتالوج المنتجات والتسعير'!$A$7:$J$36,6,FALSE()),0)</f>
        <v>0</v>
      </c>
      <c r="G159" s="5" t="n">
        <f aca="false">C159*D159</f>
        <v>0</v>
      </c>
      <c r="H159" s="5" t="n">
        <f aca="false">C159*E159</f>
        <v>0</v>
      </c>
      <c r="I159" s="5" t="n">
        <f aca="false">C159*F159</f>
        <v>0</v>
      </c>
      <c r="J159" s="5" t="n">
        <f aca="false">G159-H159</f>
        <v>0</v>
      </c>
    </row>
    <row r="160" customFormat="false" ht="15" hidden="false" customHeight="false" outlineLevel="0" collapsed="false">
      <c r="A160" s="9"/>
      <c r="B160" s="9"/>
      <c r="C160" s="22"/>
      <c r="D160" s="5" t="n">
        <f aca="false">IFERROR(VLOOKUP(B160,'كتالوج المنتجات والتسعير'!$A$7:$J$36,8,FALSE()),0)</f>
        <v>0</v>
      </c>
      <c r="E160" s="5" t="n">
        <f aca="false">IFERROR(VLOOKUP(B160,'كتالوج المنتجات والتسعير'!$A$7:$J$36,7,FALSE()),0)</f>
        <v>0</v>
      </c>
      <c r="F160" s="5" t="n">
        <f aca="false">IFERROR(VLOOKUP(B160,'كتالوج المنتجات والتسعير'!$A$7:$J$36,6,FALSE()),0)</f>
        <v>0</v>
      </c>
      <c r="G160" s="5" t="n">
        <f aca="false">C160*D160</f>
        <v>0</v>
      </c>
      <c r="H160" s="5" t="n">
        <f aca="false">C160*E160</f>
        <v>0</v>
      </c>
      <c r="I160" s="5" t="n">
        <f aca="false">C160*F160</f>
        <v>0</v>
      </c>
      <c r="J160" s="5" t="n">
        <f aca="false">G160-H160</f>
        <v>0</v>
      </c>
    </row>
    <row r="161" customFormat="false" ht="15" hidden="false" customHeight="false" outlineLevel="0" collapsed="false">
      <c r="A161" s="9"/>
      <c r="B161" s="9"/>
      <c r="C161" s="22"/>
      <c r="D161" s="5" t="n">
        <f aca="false">IFERROR(VLOOKUP(B161,'كتالوج المنتجات والتسعير'!$A$7:$J$36,8,FALSE()),0)</f>
        <v>0</v>
      </c>
      <c r="E161" s="5" t="n">
        <f aca="false">IFERROR(VLOOKUP(B161,'كتالوج المنتجات والتسعير'!$A$7:$J$36,7,FALSE()),0)</f>
        <v>0</v>
      </c>
      <c r="F161" s="5" t="n">
        <f aca="false">IFERROR(VLOOKUP(B161,'كتالوج المنتجات والتسعير'!$A$7:$J$36,6,FALSE()),0)</f>
        <v>0</v>
      </c>
      <c r="G161" s="5" t="n">
        <f aca="false">C161*D161</f>
        <v>0</v>
      </c>
      <c r="H161" s="5" t="n">
        <f aca="false">C161*E161</f>
        <v>0</v>
      </c>
      <c r="I161" s="5" t="n">
        <f aca="false">C161*F161</f>
        <v>0</v>
      </c>
      <c r="J161" s="5" t="n">
        <f aca="false">G161-H161</f>
        <v>0</v>
      </c>
    </row>
    <row r="162" customFormat="false" ht="15" hidden="false" customHeight="false" outlineLevel="0" collapsed="false">
      <c r="A162" s="9"/>
      <c r="B162" s="9"/>
      <c r="C162" s="22"/>
      <c r="D162" s="5" t="n">
        <f aca="false">IFERROR(VLOOKUP(B162,'كتالوج المنتجات والتسعير'!$A$7:$J$36,8,FALSE()),0)</f>
        <v>0</v>
      </c>
      <c r="E162" s="5" t="n">
        <f aca="false">IFERROR(VLOOKUP(B162,'كتالوج المنتجات والتسعير'!$A$7:$J$36,7,FALSE()),0)</f>
        <v>0</v>
      </c>
      <c r="F162" s="5" t="n">
        <f aca="false">IFERROR(VLOOKUP(B162,'كتالوج المنتجات والتسعير'!$A$7:$J$36,6,FALSE()),0)</f>
        <v>0</v>
      </c>
      <c r="G162" s="5" t="n">
        <f aca="false">C162*D162</f>
        <v>0</v>
      </c>
      <c r="H162" s="5" t="n">
        <f aca="false">C162*E162</f>
        <v>0</v>
      </c>
      <c r="I162" s="5" t="n">
        <f aca="false">C162*F162</f>
        <v>0</v>
      </c>
      <c r="J162" s="5" t="n">
        <f aca="false">G162-H162</f>
        <v>0</v>
      </c>
    </row>
    <row r="163" customFormat="false" ht="15" hidden="false" customHeight="false" outlineLevel="0" collapsed="false">
      <c r="A163" s="9"/>
      <c r="B163" s="9"/>
      <c r="C163" s="22"/>
      <c r="D163" s="5" t="n">
        <f aca="false">IFERROR(VLOOKUP(B163,'كتالوج المنتجات والتسعير'!$A$7:$J$36,8,FALSE()),0)</f>
        <v>0</v>
      </c>
      <c r="E163" s="5" t="n">
        <f aca="false">IFERROR(VLOOKUP(B163,'كتالوج المنتجات والتسعير'!$A$7:$J$36,7,FALSE()),0)</f>
        <v>0</v>
      </c>
      <c r="F163" s="5" t="n">
        <f aca="false">IFERROR(VLOOKUP(B163,'كتالوج المنتجات والتسعير'!$A$7:$J$36,6,FALSE()),0)</f>
        <v>0</v>
      </c>
      <c r="G163" s="5" t="n">
        <f aca="false">C163*D163</f>
        <v>0</v>
      </c>
      <c r="H163" s="5" t="n">
        <f aca="false">C163*E163</f>
        <v>0</v>
      </c>
      <c r="I163" s="5" t="n">
        <f aca="false">C163*F163</f>
        <v>0</v>
      </c>
      <c r="J163" s="5" t="n">
        <f aca="false">G163-H163</f>
        <v>0</v>
      </c>
    </row>
    <row r="164" customFormat="false" ht="15" hidden="false" customHeight="false" outlineLevel="0" collapsed="false">
      <c r="A164" s="9"/>
      <c r="B164" s="9"/>
      <c r="C164" s="22"/>
      <c r="D164" s="5" t="n">
        <f aca="false">IFERROR(VLOOKUP(B164,'كتالوج المنتجات والتسعير'!$A$7:$J$36,8,FALSE()),0)</f>
        <v>0</v>
      </c>
      <c r="E164" s="5" t="n">
        <f aca="false">IFERROR(VLOOKUP(B164,'كتالوج المنتجات والتسعير'!$A$7:$J$36,7,FALSE()),0)</f>
        <v>0</v>
      </c>
      <c r="F164" s="5" t="n">
        <f aca="false">IFERROR(VLOOKUP(B164,'كتالوج المنتجات والتسعير'!$A$7:$J$36,6,FALSE()),0)</f>
        <v>0</v>
      </c>
      <c r="G164" s="5" t="n">
        <f aca="false">C164*D164</f>
        <v>0</v>
      </c>
      <c r="H164" s="5" t="n">
        <f aca="false">C164*E164</f>
        <v>0</v>
      </c>
      <c r="I164" s="5" t="n">
        <f aca="false">C164*F164</f>
        <v>0</v>
      </c>
      <c r="J164" s="5" t="n">
        <f aca="false">G164-H164</f>
        <v>0</v>
      </c>
    </row>
    <row r="165" customFormat="false" ht="15" hidden="false" customHeight="false" outlineLevel="0" collapsed="false">
      <c r="A165" s="9"/>
      <c r="B165" s="9"/>
      <c r="C165" s="22"/>
      <c r="D165" s="5" t="n">
        <f aca="false">IFERROR(VLOOKUP(B165,'كتالوج المنتجات والتسعير'!$A$7:$J$36,8,FALSE()),0)</f>
        <v>0</v>
      </c>
      <c r="E165" s="5" t="n">
        <f aca="false">IFERROR(VLOOKUP(B165,'كتالوج المنتجات والتسعير'!$A$7:$J$36,7,FALSE()),0)</f>
        <v>0</v>
      </c>
      <c r="F165" s="5" t="n">
        <f aca="false">IFERROR(VLOOKUP(B165,'كتالوج المنتجات والتسعير'!$A$7:$J$36,6,FALSE()),0)</f>
        <v>0</v>
      </c>
      <c r="G165" s="5" t="n">
        <f aca="false">C165*D165</f>
        <v>0</v>
      </c>
      <c r="H165" s="5" t="n">
        <f aca="false">C165*E165</f>
        <v>0</v>
      </c>
      <c r="I165" s="5" t="n">
        <f aca="false">C165*F165</f>
        <v>0</v>
      </c>
      <c r="J165" s="5" t="n">
        <f aca="false">G165-H165</f>
        <v>0</v>
      </c>
    </row>
    <row r="166" customFormat="false" ht="15" hidden="false" customHeight="false" outlineLevel="0" collapsed="false">
      <c r="A166" s="9"/>
      <c r="B166" s="9"/>
      <c r="C166" s="22"/>
      <c r="D166" s="5" t="n">
        <f aca="false">IFERROR(VLOOKUP(B166,'كتالوج المنتجات والتسعير'!$A$7:$J$36,8,FALSE()),0)</f>
        <v>0</v>
      </c>
      <c r="E166" s="5" t="n">
        <f aca="false">IFERROR(VLOOKUP(B166,'كتالوج المنتجات والتسعير'!$A$7:$J$36,7,FALSE()),0)</f>
        <v>0</v>
      </c>
      <c r="F166" s="5" t="n">
        <f aca="false">IFERROR(VLOOKUP(B166,'كتالوج المنتجات والتسعير'!$A$7:$J$36,6,FALSE()),0)</f>
        <v>0</v>
      </c>
      <c r="G166" s="5" t="n">
        <f aca="false">C166*D166</f>
        <v>0</v>
      </c>
      <c r="H166" s="5" t="n">
        <f aca="false">C166*E166</f>
        <v>0</v>
      </c>
      <c r="I166" s="5" t="n">
        <f aca="false">C166*F166</f>
        <v>0</v>
      </c>
      <c r="J166" s="5" t="n">
        <f aca="false">G166-H166</f>
        <v>0</v>
      </c>
    </row>
    <row r="167" customFormat="false" ht="15" hidden="false" customHeight="false" outlineLevel="0" collapsed="false">
      <c r="A167" s="9"/>
      <c r="B167" s="9"/>
      <c r="C167" s="22"/>
      <c r="D167" s="5" t="n">
        <f aca="false">IFERROR(VLOOKUP(B167,'كتالوج المنتجات والتسعير'!$A$7:$J$36,8,FALSE()),0)</f>
        <v>0</v>
      </c>
      <c r="E167" s="5" t="n">
        <f aca="false">IFERROR(VLOOKUP(B167,'كتالوج المنتجات والتسعير'!$A$7:$J$36,7,FALSE()),0)</f>
        <v>0</v>
      </c>
      <c r="F167" s="5" t="n">
        <f aca="false">IFERROR(VLOOKUP(B167,'كتالوج المنتجات والتسعير'!$A$7:$J$36,6,FALSE()),0)</f>
        <v>0</v>
      </c>
      <c r="G167" s="5" t="n">
        <f aca="false">C167*D167</f>
        <v>0</v>
      </c>
      <c r="H167" s="5" t="n">
        <f aca="false">C167*E167</f>
        <v>0</v>
      </c>
      <c r="I167" s="5" t="n">
        <f aca="false">C167*F167</f>
        <v>0</v>
      </c>
      <c r="J167" s="5" t="n">
        <f aca="false">G167-H167</f>
        <v>0</v>
      </c>
    </row>
    <row r="168" customFormat="false" ht="15" hidden="false" customHeight="false" outlineLevel="0" collapsed="false">
      <c r="A168" s="9"/>
      <c r="B168" s="9"/>
      <c r="C168" s="22"/>
      <c r="D168" s="5" t="n">
        <f aca="false">IFERROR(VLOOKUP(B168,'كتالوج المنتجات والتسعير'!$A$7:$J$36,8,FALSE()),0)</f>
        <v>0</v>
      </c>
      <c r="E168" s="5" t="n">
        <f aca="false">IFERROR(VLOOKUP(B168,'كتالوج المنتجات والتسعير'!$A$7:$J$36,7,FALSE()),0)</f>
        <v>0</v>
      </c>
      <c r="F168" s="5" t="n">
        <f aca="false">IFERROR(VLOOKUP(B168,'كتالوج المنتجات والتسعير'!$A$7:$J$36,6,FALSE()),0)</f>
        <v>0</v>
      </c>
      <c r="G168" s="5" t="n">
        <f aca="false">C168*D168</f>
        <v>0</v>
      </c>
      <c r="H168" s="5" t="n">
        <f aca="false">C168*E168</f>
        <v>0</v>
      </c>
      <c r="I168" s="5" t="n">
        <f aca="false">C168*F168</f>
        <v>0</v>
      </c>
      <c r="J168" s="5" t="n">
        <f aca="false">G168-H168</f>
        <v>0</v>
      </c>
    </row>
    <row r="169" customFormat="false" ht="15" hidden="false" customHeight="false" outlineLevel="0" collapsed="false">
      <c r="A169" s="9"/>
      <c r="B169" s="9"/>
      <c r="C169" s="22"/>
      <c r="D169" s="5" t="n">
        <f aca="false">IFERROR(VLOOKUP(B169,'كتالوج المنتجات والتسعير'!$A$7:$J$36,8,FALSE()),0)</f>
        <v>0</v>
      </c>
      <c r="E169" s="5" t="n">
        <f aca="false">IFERROR(VLOOKUP(B169,'كتالوج المنتجات والتسعير'!$A$7:$J$36,7,FALSE()),0)</f>
        <v>0</v>
      </c>
      <c r="F169" s="5" t="n">
        <f aca="false">IFERROR(VLOOKUP(B169,'كتالوج المنتجات والتسعير'!$A$7:$J$36,6,FALSE()),0)</f>
        <v>0</v>
      </c>
      <c r="G169" s="5" t="n">
        <f aca="false">C169*D169</f>
        <v>0</v>
      </c>
      <c r="H169" s="5" t="n">
        <f aca="false">C169*E169</f>
        <v>0</v>
      </c>
      <c r="I169" s="5" t="n">
        <f aca="false">C169*F169</f>
        <v>0</v>
      </c>
      <c r="J169" s="5" t="n">
        <f aca="false">G169-H169</f>
        <v>0</v>
      </c>
    </row>
    <row r="170" customFormat="false" ht="15" hidden="false" customHeight="false" outlineLevel="0" collapsed="false">
      <c r="A170" s="9"/>
      <c r="B170" s="9"/>
      <c r="C170" s="22"/>
      <c r="D170" s="5" t="n">
        <f aca="false">IFERROR(VLOOKUP(B170,'كتالوج المنتجات والتسعير'!$A$7:$J$36,8,FALSE()),0)</f>
        <v>0</v>
      </c>
      <c r="E170" s="5" t="n">
        <f aca="false">IFERROR(VLOOKUP(B170,'كتالوج المنتجات والتسعير'!$A$7:$J$36,7,FALSE()),0)</f>
        <v>0</v>
      </c>
      <c r="F170" s="5" t="n">
        <f aca="false">IFERROR(VLOOKUP(B170,'كتالوج المنتجات والتسعير'!$A$7:$J$36,6,FALSE()),0)</f>
        <v>0</v>
      </c>
      <c r="G170" s="5" t="n">
        <f aca="false">C170*D170</f>
        <v>0</v>
      </c>
      <c r="H170" s="5" t="n">
        <f aca="false">C170*E170</f>
        <v>0</v>
      </c>
      <c r="I170" s="5" t="n">
        <f aca="false">C170*F170</f>
        <v>0</v>
      </c>
      <c r="J170" s="5" t="n">
        <f aca="false">G170-H170</f>
        <v>0</v>
      </c>
    </row>
    <row r="171" customFormat="false" ht="15" hidden="false" customHeight="false" outlineLevel="0" collapsed="false">
      <c r="A171" s="9"/>
      <c r="B171" s="9"/>
      <c r="C171" s="22"/>
      <c r="D171" s="5" t="n">
        <f aca="false">IFERROR(VLOOKUP(B171,'كتالوج المنتجات والتسعير'!$A$7:$J$36,8,FALSE()),0)</f>
        <v>0</v>
      </c>
      <c r="E171" s="5" t="n">
        <f aca="false">IFERROR(VLOOKUP(B171,'كتالوج المنتجات والتسعير'!$A$7:$J$36,7,FALSE()),0)</f>
        <v>0</v>
      </c>
      <c r="F171" s="5" t="n">
        <f aca="false">IFERROR(VLOOKUP(B171,'كتالوج المنتجات والتسعير'!$A$7:$J$36,6,FALSE()),0)</f>
        <v>0</v>
      </c>
      <c r="G171" s="5" t="n">
        <f aca="false">C171*D171</f>
        <v>0</v>
      </c>
      <c r="H171" s="5" t="n">
        <f aca="false">C171*E171</f>
        <v>0</v>
      </c>
      <c r="I171" s="5" t="n">
        <f aca="false">C171*F171</f>
        <v>0</v>
      </c>
      <c r="J171" s="5" t="n">
        <f aca="false">G171-H171</f>
        <v>0</v>
      </c>
    </row>
    <row r="172" customFormat="false" ht="15" hidden="false" customHeight="false" outlineLevel="0" collapsed="false">
      <c r="A172" s="9"/>
      <c r="B172" s="9"/>
      <c r="C172" s="22"/>
      <c r="D172" s="5" t="n">
        <f aca="false">IFERROR(VLOOKUP(B172,'كتالوج المنتجات والتسعير'!$A$7:$J$36,8,FALSE()),0)</f>
        <v>0</v>
      </c>
      <c r="E172" s="5" t="n">
        <f aca="false">IFERROR(VLOOKUP(B172,'كتالوج المنتجات والتسعير'!$A$7:$J$36,7,FALSE()),0)</f>
        <v>0</v>
      </c>
      <c r="F172" s="5" t="n">
        <f aca="false">IFERROR(VLOOKUP(B172,'كتالوج المنتجات والتسعير'!$A$7:$J$36,6,FALSE()),0)</f>
        <v>0</v>
      </c>
      <c r="G172" s="5" t="n">
        <f aca="false">C172*D172</f>
        <v>0</v>
      </c>
      <c r="H172" s="5" t="n">
        <f aca="false">C172*E172</f>
        <v>0</v>
      </c>
      <c r="I172" s="5" t="n">
        <f aca="false">C172*F172</f>
        <v>0</v>
      </c>
      <c r="J172" s="5" t="n">
        <f aca="false">G172-H172</f>
        <v>0</v>
      </c>
    </row>
    <row r="173" customFormat="false" ht="15" hidden="false" customHeight="false" outlineLevel="0" collapsed="false">
      <c r="A173" s="9"/>
      <c r="B173" s="9"/>
      <c r="C173" s="22"/>
      <c r="D173" s="5" t="n">
        <f aca="false">IFERROR(VLOOKUP(B173,'كتالوج المنتجات والتسعير'!$A$7:$J$36,8,FALSE()),0)</f>
        <v>0</v>
      </c>
      <c r="E173" s="5" t="n">
        <f aca="false">IFERROR(VLOOKUP(B173,'كتالوج المنتجات والتسعير'!$A$7:$J$36,7,FALSE()),0)</f>
        <v>0</v>
      </c>
      <c r="F173" s="5" t="n">
        <f aca="false">IFERROR(VLOOKUP(B173,'كتالوج المنتجات والتسعير'!$A$7:$J$36,6,FALSE()),0)</f>
        <v>0</v>
      </c>
      <c r="G173" s="5" t="n">
        <f aca="false">C173*D173</f>
        <v>0</v>
      </c>
      <c r="H173" s="5" t="n">
        <f aca="false">C173*E173</f>
        <v>0</v>
      </c>
      <c r="I173" s="5" t="n">
        <f aca="false">C173*F173</f>
        <v>0</v>
      </c>
      <c r="J173" s="5" t="n">
        <f aca="false">G173-H173</f>
        <v>0</v>
      </c>
    </row>
    <row r="174" customFormat="false" ht="15" hidden="false" customHeight="false" outlineLevel="0" collapsed="false">
      <c r="A174" s="9"/>
      <c r="B174" s="9"/>
      <c r="C174" s="22"/>
      <c r="D174" s="5" t="n">
        <f aca="false">IFERROR(VLOOKUP(B174,'كتالوج المنتجات والتسعير'!$A$7:$J$36,8,FALSE()),0)</f>
        <v>0</v>
      </c>
      <c r="E174" s="5" t="n">
        <f aca="false">IFERROR(VLOOKUP(B174,'كتالوج المنتجات والتسعير'!$A$7:$J$36,7,FALSE()),0)</f>
        <v>0</v>
      </c>
      <c r="F174" s="5" t="n">
        <f aca="false">IFERROR(VLOOKUP(B174,'كتالوج المنتجات والتسعير'!$A$7:$J$36,6,FALSE()),0)</f>
        <v>0</v>
      </c>
      <c r="G174" s="5" t="n">
        <f aca="false">C174*D174</f>
        <v>0</v>
      </c>
      <c r="H174" s="5" t="n">
        <f aca="false">C174*E174</f>
        <v>0</v>
      </c>
      <c r="I174" s="5" t="n">
        <f aca="false">C174*F174</f>
        <v>0</v>
      </c>
      <c r="J174" s="5" t="n">
        <f aca="false">G174-H174</f>
        <v>0</v>
      </c>
    </row>
    <row r="175" customFormat="false" ht="15" hidden="false" customHeight="false" outlineLevel="0" collapsed="false">
      <c r="A175" s="9"/>
      <c r="B175" s="9"/>
      <c r="C175" s="22"/>
      <c r="D175" s="5" t="n">
        <f aca="false">IFERROR(VLOOKUP(B175,'كتالوج المنتجات والتسعير'!$A$7:$J$36,8,FALSE()),0)</f>
        <v>0</v>
      </c>
      <c r="E175" s="5" t="n">
        <f aca="false">IFERROR(VLOOKUP(B175,'كتالوج المنتجات والتسعير'!$A$7:$J$36,7,FALSE()),0)</f>
        <v>0</v>
      </c>
      <c r="F175" s="5" t="n">
        <f aca="false">IFERROR(VLOOKUP(B175,'كتالوج المنتجات والتسعير'!$A$7:$J$36,6,FALSE()),0)</f>
        <v>0</v>
      </c>
      <c r="G175" s="5" t="n">
        <f aca="false">C175*D175</f>
        <v>0</v>
      </c>
      <c r="H175" s="5" t="n">
        <f aca="false">C175*E175</f>
        <v>0</v>
      </c>
      <c r="I175" s="5" t="n">
        <f aca="false">C175*F175</f>
        <v>0</v>
      </c>
      <c r="J175" s="5" t="n">
        <f aca="false">G175-H175</f>
        <v>0</v>
      </c>
    </row>
    <row r="176" customFormat="false" ht="15" hidden="false" customHeight="false" outlineLevel="0" collapsed="false">
      <c r="A176" s="9"/>
      <c r="B176" s="9"/>
      <c r="C176" s="22"/>
      <c r="D176" s="5" t="n">
        <f aca="false">IFERROR(VLOOKUP(B176,'كتالوج المنتجات والتسعير'!$A$7:$J$36,8,FALSE()),0)</f>
        <v>0</v>
      </c>
      <c r="E176" s="5" t="n">
        <f aca="false">IFERROR(VLOOKUP(B176,'كتالوج المنتجات والتسعير'!$A$7:$J$36,7,FALSE()),0)</f>
        <v>0</v>
      </c>
      <c r="F176" s="5" t="n">
        <f aca="false">IFERROR(VLOOKUP(B176,'كتالوج المنتجات والتسعير'!$A$7:$J$36,6,FALSE()),0)</f>
        <v>0</v>
      </c>
      <c r="G176" s="5" t="n">
        <f aca="false">C176*D176</f>
        <v>0</v>
      </c>
      <c r="H176" s="5" t="n">
        <f aca="false">C176*E176</f>
        <v>0</v>
      </c>
      <c r="I176" s="5" t="n">
        <f aca="false">C176*F176</f>
        <v>0</v>
      </c>
      <c r="J176" s="5" t="n">
        <f aca="false">G176-H176</f>
        <v>0</v>
      </c>
    </row>
    <row r="177" customFormat="false" ht="15" hidden="false" customHeight="false" outlineLevel="0" collapsed="false">
      <c r="A177" s="9"/>
      <c r="B177" s="9"/>
      <c r="C177" s="22"/>
      <c r="D177" s="5" t="n">
        <f aca="false">IFERROR(VLOOKUP(B177,'كتالوج المنتجات والتسعير'!$A$7:$J$36,8,FALSE()),0)</f>
        <v>0</v>
      </c>
      <c r="E177" s="5" t="n">
        <f aca="false">IFERROR(VLOOKUP(B177,'كتالوج المنتجات والتسعير'!$A$7:$J$36,7,FALSE()),0)</f>
        <v>0</v>
      </c>
      <c r="F177" s="5" t="n">
        <f aca="false">IFERROR(VLOOKUP(B177,'كتالوج المنتجات والتسعير'!$A$7:$J$36,6,FALSE()),0)</f>
        <v>0</v>
      </c>
      <c r="G177" s="5" t="n">
        <f aca="false">C177*D177</f>
        <v>0</v>
      </c>
      <c r="H177" s="5" t="n">
        <f aca="false">C177*E177</f>
        <v>0</v>
      </c>
      <c r="I177" s="5" t="n">
        <f aca="false">C177*F177</f>
        <v>0</v>
      </c>
      <c r="J177" s="5" t="n">
        <f aca="false">G177-H177</f>
        <v>0</v>
      </c>
    </row>
    <row r="178" customFormat="false" ht="15" hidden="false" customHeight="false" outlineLevel="0" collapsed="false">
      <c r="A178" s="9"/>
      <c r="B178" s="9"/>
      <c r="C178" s="22"/>
      <c r="D178" s="5" t="n">
        <f aca="false">IFERROR(VLOOKUP(B178,'كتالوج المنتجات والتسعير'!$A$7:$J$36,8,FALSE()),0)</f>
        <v>0</v>
      </c>
      <c r="E178" s="5" t="n">
        <f aca="false">IFERROR(VLOOKUP(B178,'كتالوج المنتجات والتسعير'!$A$7:$J$36,7,FALSE()),0)</f>
        <v>0</v>
      </c>
      <c r="F178" s="5" t="n">
        <f aca="false">IFERROR(VLOOKUP(B178,'كتالوج المنتجات والتسعير'!$A$7:$J$36,6,FALSE()),0)</f>
        <v>0</v>
      </c>
      <c r="G178" s="5" t="n">
        <f aca="false">C178*D178</f>
        <v>0</v>
      </c>
      <c r="H178" s="5" t="n">
        <f aca="false">C178*E178</f>
        <v>0</v>
      </c>
      <c r="I178" s="5" t="n">
        <f aca="false">C178*F178</f>
        <v>0</v>
      </c>
      <c r="J178" s="5" t="n">
        <f aca="false">G178-H178</f>
        <v>0</v>
      </c>
    </row>
    <row r="179" customFormat="false" ht="15" hidden="false" customHeight="false" outlineLevel="0" collapsed="false">
      <c r="A179" s="9"/>
      <c r="B179" s="9"/>
      <c r="C179" s="22"/>
      <c r="D179" s="5" t="n">
        <f aca="false">IFERROR(VLOOKUP(B179,'كتالوج المنتجات والتسعير'!$A$7:$J$36,8,FALSE()),0)</f>
        <v>0</v>
      </c>
      <c r="E179" s="5" t="n">
        <f aca="false">IFERROR(VLOOKUP(B179,'كتالوج المنتجات والتسعير'!$A$7:$J$36,7,FALSE()),0)</f>
        <v>0</v>
      </c>
      <c r="F179" s="5" t="n">
        <f aca="false">IFERROR(VLOOKUP(B179,'كتالوج المنتجات والتسعير'!$A$7:$J$36,6,FALSE()),0)</f>
        <v>0</v>
      </c>
      <c r="G179" s="5" t="n">
        <f aca="false">C179*D179</f>
        <v>0</v>
      </c>
      <c r="H179" s="5" t="n">
        <f aca="false">C179*E179</f>
        <v>0</v>
      </c>
      <c r="I179" s="5" t="n">
        <f aca="false">C179*F179</f>
        <v>0</v>
      </c>
      <c r="J179" s="5" t="n">
        <f aca="false">G179-H179</f>
        <v>0</v>
      </c>
    </row>
    <row r="180" customFormat="false" ht="15" hidden="false" customHeight="false" outlineLevel="0" collapsed="false">
      <c r="A180" s="9"/>
      <c r="B180" s="9"/>
      <c r="C180" s="22"/>
      <c r="D180" s="5" t="n">
        <f aca="false">IFERROR(VLOOKUP(B180,'كتالوج المنتجات والتسعير'!$A$7:$J$36,8,FALSE()),0)</f>
        <v>0</v>
      </c>
      <c r="E180" s="5" t="n">
        <f aca="false">IFERROR(VLOOKUP(B180,'كتالوج المنتجات والتسعير'!$A$7:$J$36,7,FALSE()),0)</f>
        <v>0</v>
      </c>
      <c r="F180" s="5" t="n">
        <f aca="false">IFERROR(VLOOKUP(B180,'كتالوج المنتجات والتسعير'!$A$7:$J$36,6,FALSE()),0)</f>
        <v>0</v>
      </c>
      <c r="G180" s="5" t="n">
        <f aca="false">C180*D180</f>
        <v>0</v>
      </c>
      <c r="H180" s="5" t="n">
        <f aca="false">C180*E180</f>
        <v>0</v>
      </c>
      <c r="I180" s="5" t="n">
        <f aca="false">C180*F180</f>
        <v>0</v>
      </c>
      <c r="J180" s="5" t="n">
        <f aca="false">G180-H180</f>
        <v>0</v>
      </c>
    </row>
    <row r="181" customFormat="false" ht="15" hidden="false" customHeight="false" outlineLevel="0" collapsed="false">
      <c r="A181" s="9"/>
      <c r="B181" s="9"/>
      <c r="C181" s="22"/>
      <c r="D181" s="5" t="n">
        <f aca="false">IFERROR(VLOOKUP(B181,'كتالوج المنتجات والتسعير'!$A$7:$J$36,8,FALSE()),0)</f>
        <v>0</v>
      </c>
      <c r="E181" s="5" t="n">
        <f aca="false">IFERROR(VLOOKUP(B181,'كتالوج المنتجات والتسعير'!$A$7:$J$36,7,FALSE()),0)</f>
        <v>0</v>
      </c>
      <c r="F181" s="5" t="n">
        <f aca="false">IFERROR(VLOOKUP(B181,'كتالوج المنتجات والتسعير'!$A$7:$J$36,6,FALSE()),0)</f>
        <v>0</v>
      </c>
      <c r="G181" s="5" t="n">
        <f aca="false">C181*D181</f>
        <v>0</v>
      </c>
      <c r="H181" s="5" t="n">
        <f aca="false">C181*E181</f>
        <v>0</v>
      </c>
      <c r="I181" s="5" t="n">
        <f aca="false">C181*F181</f>
        <v>0</v>
      </c>
      <c r="J181" s="5" t="n">
        <f aca="false">G181-H181</f>
        <v>0</v>
      </c>
    </row>
    <row r="182" customFormat="false" ht="15" hidden="false" customHeight="false" outlineLevel="0" collapsed="false">
      <c r="A182" s="9"/>
      <c r="B182" s="9"/>
      <c r="C182" s="22"/>
      <c r="D182" s="5" t="n">
        <f aca="false">IFERROR(VLOOKUP(B182,'كتالوج المنتجات والتسعير'!$A$7:$J$36,8,FALSE()),0)</f>
        <v>0</v>
      </c>
      <c r="E182" s="5" t="n">
        <f aca="false">IFERROR(VLOOKUP(B182,'كتالوج المنتجات والتسعير'!$A$7:$J$36,7,FALSE()),0)</f>
        <v>0</v>
      </c>
      <c r="F182" s="5" t="n">
        <f aca="false">IFERROR(VLOOKUP(B182,'كتالوج المنتجات والتسعير'!$A$7:$J$36,6,FALSE()),0)</f>
        <v>0</v>
      </c>
      <c r="G182" s="5" t="n">
        <f aca="false">C182*D182</f>
        <v>0</v>
      </c>
      <c r="H182" s="5" t="n">
        <f aca="false">C182*E182</f>
        <v>0</v>
      </c>
      <c r="I182" s="5" t="n">
        <f aca="false">C182*F182</f>
        <v>0</v>
      </c>
      <c r="J182" s="5" t="n">
        <f aca="false">G182-H182</f>
        <v>0</v>
      </c>
    </row>
    <row r="183" customFormat="false" ht="15" hidden="false" customHeight="false" outlineLevel="0" collapsed="false">
      <c r="A183" s="9"/>
      <c r="B183" s="9"/>
      <c r="C183" s="22"/>
      <c r="D183" s="5" t="n">
        <f aca="false">IFERROR(VLOOKUP(B183,'كتالوج المنتجات والتسعير'!$A$7:$J$36,8,FALSE()),0)</f>
        <v>0</v>
      </c>
      <c r="E183" s="5" t="n">
        <f aca="false">IFERROR(VLOOKUP(B183,'كتالوج المنتجات والتسعير'!$A$7:$J$36,7,FALSE()),0)</f>
        <v>0</v>
      </c>
      <c r="F183" s="5" t="n">
        <f aca="false">IFERROR(VLOOKUP(B183,'كتالوج المنتجات والتسعير'!$A$7:$J$36,6,FALSE()),0)</f>
        <v>0</v>
      </c>
      <c r="G183" s="5" t="n">
        <f aca="false">C183*D183</f>
        <v>0</v>
      </c>
      <c r="H183" s="5" t="n">
        <f aca="false">C183*E183</f>
        <v>0</v>
      </c>
      <c r="I183" s="5" t="n">
        <f aca="false">C183*F183</f>
        <v>0</v>
      </c>
      <c r="J183" s="5" t="n">
        <f aca="false">G183-H183</f>
        <v>0</v>
      </c>
    </row>
    <row r="184" customFormat="false" ht="15" hidden="false" customHeight="false" outlineLevel="0" collapsed="false">
      <c r="A184" s="9"/>
      <c r="B184" s="9"/>
      <c r="C184" s="22"/>
      <c r="D184" s="5" t="n">
        <f aca="false">IFERROR(VLOOKUP(B184,'كتالوج المنتجات والتسعير'!$A$7:$J$36,8,FALSE()),0)</f>
        <v>0</v>
      </c>
      <c r="E184" s="5" t="n">
        <f aca="false">IFERROR(VLOOKUP(B184,'كتالوج المنتجات والتسعير'!$A$7:$J$36,7,FALSE()),0)</f>
        <v>0</v>
      </c>
      <c r="F184" s="5" t="n">
        <f aca="false">IFERROR(VLOOKUP(B184,'كتالوج المنتجات والتسعير'!$A$7:$J$36,6,FALSE()),0)</f>
        <v>0</v>
      </c>
      <c r="G184" s="5" t="n">
        <f aca="false">C184*D184</f>
        <v>0</v>
      </c>
      <c r="H184" s="5" t="n">
        <f aca="false">C184*E184</f>
        <v>0</v>
      </c>
      <c r="I184" s="5" t="n">
        <f aca="false">C184*F184</f>
        <v>0</v>
      </c>
      <c r="J184" s="5" t="n">
        <f aca="false">G184-H184</f>
        <v>0</v>
      </c>
    </row>
    <row r="185" customFormat="false" ht="15" hidden="false" customHeight="false" outlineLevel="0" collapsed="false">
      <c r="A185" s="9"/>
      <c r="B185" s="9"/>
      <c r="C185" s="22"/>
      <c r="D185" s="5" t="n">
        <f aca="false">IFERROR(VLOOKUP(B185,'كتالوج المنتجات والتسعير'!$A$7:$J$36,8,FALSE()),0)</f>
        <v>0</v>
      </c>
      <c r="E185" s="5" t="n">
        <f aca="false">IFERROR(VLOOKUP(B185,'كتالوج المنتجات والتسعير'!$A$7:$J$36,7,FALSE()),0)</f>
        <v>0</v>
      </c>
      <c r="F185" s="5" t="n">
        <f aca="false">IFERROR(VLOOKUP(B185,'كتالوج المنتجات والتسعير'!$A$7:$J$36,6,FALSE()),0)</f>
        <v>0</v>
      </c>
      <c r="G185" s="5" t="n">
        <f aca="false">C185*D185</f>
        <v>0</v>
      </c>
      <c r="H185" s="5" t="n">
        <f aca="false">C185*E185</f>
        <v>0</v>
      </c>
      <c r="I185" s="5" t="n">
        <f aca="false">C185*F185</f>
        <v>0</v>
      </c>
      <c r="J185" s="5" t="n">
        <f aca="false">G185-H185</f>
        <v>0</v>
      </c>
    </row>
    <row r="186" customFormat="false" ht="15" hidden="false" customHeight="false" outlineLevel="0" collapsed="false">
      <c r="A186" s="9"/>
      <c r="B186" s="9"/>
      <c r="C186" s="22"/>
      <c r="D186" s="5" t="n">
        <f aca="false">IFERROR(VLOOKUP(B186,'كتالوج المنتجات والتسعير'!$A$7:$J$36,8,FALSE()),0)</f>
        <v>0</v>
      </c>
      <c r="E186" s="5" t="n">
        <f aca="false">IFERROR(VLOOKUP(B186,'كتالوج المنتجات والتسعير'!$A$7:$J$36,7,FALSE()),0)</f>
        <v>0</v>
      </c>
      <c r="F186" s="5" t="n">
        <f aca="false">IFERROR(VLOOKUP(B186,'كتالوج المنتجات والتسعير'!$A$7:$J$36,6,FALSE()),0)</f>
        <v>0</v>
      </c>
      <c r="G186" s="5" t="n">
        <f aca="false">C186*D186</f>
        <v>0</v>
      </c>
      <c r="H186" s="5" t="n">
        <f aca="false">C186*E186</f>
        <v>0</v>
      </c>
      <c r="I186" s="5" t="n">
        <f aca="false">C186*F186</f>
        <v>0</v>
      </c>
      <c r="J186" s="5" t="n">
        <f aca="false">G186-H186</f>
        <v>0</v>
      </c>
    </row>
    <row r="187" customFormat="false" ht="15" hidden="false" customHeight="false" outlineLevel="0" collapsed="false">
      <c r="A187" s="9"/>
      <c r="B187" s="9"/>
      <c r="C187" s="22"/>
      <c r="D187" s="5" t="n">
        <f aca="false">IFERROR(VLOOKUP(B187,'كتالوج المنتجات والتسعير'!$A$7:$J$36,8,FALSE()),0)</f>
        <v>0</v>
      </c>
      <c r="E187" s="5" t="n">
        <f aca="false">IFERROR(VLOOKUP(B187,'كتالوج المنتجات والتسعير'!$A$7:$J$36,7,FALSE()),0)</f>
        <v>0</v>
      </c>
      <c r="F187" s="5" t="n">
        <f aca="false">IFERROR(VLOOKUP(B187,'كتالوج المنتجات والتسعير'!$A$7:$J$36,6,FALSE()),0)</f>
        <v>0</v>
      </c>
      <c r="G187" s="5" t="n">
        <f aca="false">C187*D187</f>
        <v>0</v>
      </c>
      <c r="H187" s="5" t="n">
        <f aca="false">C187*E187</f>
        <v>0</v>
      </c>
      <c r="I187" s="5" t="n">
        <f aca="false">C187*F187</f>
        <v>0</v>
      </c>
      <c r="J187" s="5" t="n">
        <f aca="false">G187-H187</f>
        <v>0</v>
      </c>
    </row>
    <row r="188" customFormat="false" ht="15" hidden="false" customHeight="false" outlineLevel="0" collapsed="false">
      <c r="A188" s="9"/>
      <c r="B188" s="9"/>
      <c r="C188" s="22"/>
      <c r="D188" s="5" t="n">
        <f aca="false">IFERROR(VLOOKUP(B188,'كتالوج المنتجات والتسعير'!$A$7:$J$36,8,FALSE()),0)</f>
        <v>0</v>
      </c>
      <c r="E188" s="5" t="n">
        <f aca="false">IFERROR(VLOOKUP(B188,'كتالوج المنتجات والتسعير'!$A$7:$J$36,7,FALSE()),0)</f>
        <v>0</v>
      </c>
      <c r="F188" s="5" t="n">
        <f aca="false">IFERROR(VLOOKUP(B188,'كتالوج المنتجات والتسعير'!$A$7:$J$36,6,FALSE()),0)</f>
        <v>0</v>
      </c>
      <c r="G188" s="5" t="n">
        <f aca="false">C188*D188</f>
        <v>0</v>
      </c>
      <c r="H188" s="5" t="n">
        <f aca="false">C188*E188</f>
        <v>0</v>
      </c>
      <c r="I188" s="5" t="n">
        <f aca="false">C188*F188</f>
        <v>0</v>
      </c>
      <c r="J188" s="5" t="n">
        <f aca="false">G188-H188</f>
        <v>0</v>
      </c>
    </row>
    <row r="189" customFormat="false" ht="15" hidden="false" customHeight="false" outlineLevel="0" collapsed="false">
      <c r="A189" s="9"/>
      <c r="B189" s="9"/>
      <c r="C189" s="22"/>
      <c r="D189" s="5" t="n">
        <f aca="false">IFERROR(VLOOKUP(B189,'كتالوج المنتجات والتسعير'!$A$7:$J$36,8,FALSE()),0)</f>
        <v>0</v>
      </c>
      <c r="E189" s="5" t="n">
        <f aca="false">IFERROR(VLOOKUP(B189,'كتالوج المنتجات والتسعير'!$A$7:$J$36,7,FALSE()),0)</f>
        <v>0</v>
      </c>
      <c r="F189" s="5" t="n">
        <f aca="false">IFERROR(VLOOKUP(B189,'كتالوج المنتجات والتسعير'!$A$7:$J$36,6,FALSE()),0)</f>
        <v>0</v>
      </c>
      <c r="G189" s="5" t="n">
        <f aca="false">C189*D189</f>
        <v>0</v>
      </c>
      <c r="H189" s="5" t="n">
        <f aca="false">C189*E189</f>
        <v>0</v>
      </c>
      <c r="I189" s="5" t="n">
        <f aca="false">C189*F189</f>
        <v>0</v>
      </c>
      <c r="J189" s="5" t="n">
        <f aca="false">G189-H189</f>
        <v>0</v>
      </c>
    </row>
    <row r="190" customFormat="false" ht="15" hidden="false" customHeight="false" outlineLevel="0" collapsed="false">
      <c r="A190" s="9"/>
      <c r="B190" s="9"/>
      <c r="C190" s="22"/>
      <c r="D190" s="5" t="n">
        <f aca="false">IFERROR(VLOOKUP(B190,'كتالوج المنتجات والتسعير'!$A$7:$J$36,8,FALSE()),0)</f>
        <v>0</v>
      </c>
      <c r="E190" s="5" t="n">
        <f aca="false">IFERROR(VLOOKUP(B190,'كتالوج المنتجات والتسعير'!$A$7:$J$36,7,FALSE()),0)</f>
        <v>0</v>
      </c>
      <c r="F190" s="5" t="n">
        <f aca="false">IFERROR(VLOOKUP(B190,'كتالوج المنتجات والتسعير'!$A$7:$J$36,6,FALSE()),0)</f>
        <v>0</v>
      </c>
      <c r="G190" s="5" t="n">
        <f aca="false">C190*D190</f>
        <v>0</v>
      </c>
      <c r="H190" s="5" t="n">
        <f aca="false">C190*E190</f>
        <v>0</v>
      </c>
      <c r="I190" s="5" t="n">
        <f aca="false">C190*F190</f>
        <v>0</v>
      </c>
      <c r="J190" s="5" t="n">
        <f aca="false">G190-H190</f>
        <v>0</v>
      </c>
    </row>
    <row r="191" customFormat="false" ht="15" hidden="false" customHeight="false" outlineLevel="0" collapsed="false">
      <c r="A191" s="9"/>
      <c r="B191" s="9"/>
      <c r="C191" s="22"/>
      <c r="D191" s="5" t="n">
        <f aca="false">IFERROR(VLOOKUP(B191,'كتالوج المنتجات والتسعير'!$A$7:$J$36,8,FALSE()),0)</f>
        <v>0</v>
      </c>
      <c r="E191" s="5" t="n">
        <f aca="false">IFERROR(VLOOKUP(B191,'كتالوج المنتجات والتسعير'!$A$7:$J$36,7,FALSE()),0)</f>
        <v>0</v>
      </c>
      <c r="F191" s="5" t="n">
        <f aca="false">IFERROR(VLOOKUP(B191,'كتالوج المنتجات والتسعير'!$A$7:$J$36,6,FALSE()),0)</f>
        <v>0</v>
      </c>
      <c r="G191" s="5" t="n">
        <f aca="false">C191*D191</f>
        <v>0</v>
      </c>
      <c r="H191" s="5" t="n">
        <f aca="false">C191*E191</f>
        <v>0</v>
      </c>
      <c r="I191" s="5" t="n">
        <f aca="false">C191*F191</f>
        <v>0</v>
      </c>
      <c r="J191" s="5" t="n">
        <f aca="false">G191-H191</f>
        <v>0</v>
      </c>
    </row>
    <row r="192" customFormat="false" ht="15" hidden="false" customHeight="false" outlineLevel="0" collapsed="false">
      <c r="A192" s="9"/>
      <c r="B192" s="9"/>
      <c r="C192" s="22"/>
      <c r="D192" s="5" t="n">
        <f aca="false">IFERROR(VLOOKUP(B192,'كتالوج المنتجات والتسعير'!$A$7:$J$36,8,FALSE()),0)</f>
        <v>0</v>
      </c>
      <c r="E192" s="5" t="n">
        <f aca="false">IFERROR(VLOOKUP(B192,'كتالوج المنتجات والتسعير'!$A$7:$J$36,7,FALSE()),0)</f>
        <v>0</v>
      </c>
      <c r="F192" s="5" t="n">
        <f aca="false">IFERROR(VLOOKUP(B192,'كتالوج المنتجات والتسعير'!$A$7:$J$36,6,FALSE()),0)</f>
        <v>0</v>
      </c>
      <c r="G192" s="5" t="n">
        <f aca="false">C192*D192</f>
        <v>0</v>
      </c>
      <c r="H192" s="5" t="n">
        <f aca="false">C192*E192</f>
        <v>0</v>
      </c>
      <c r="I192" s="5" t="n">
        <f aca="false">C192*F192</f>
        <v>0</v>
      </c>
      <c r="J192" s="5" t="n">
        <f aca="false">G192-H192</f>
        <v>0</v>
      </c>
    </row>
    <row r="193" customFormat="false" ht="15" hidden="false" customHeight="false" outlineLevel="0" collapsed="false">
      <c r="A193" s="9"/>
      <c r="B193" s="9"/>
      <c r="C193" s="22"/>
      <c r="D193" s="5" t="n">
        <f aca="false">IFERROR(VLOOKUP(B193,'كتالوج المنتجات والتسعير'!$A$7:$J$36,8,FALSE()),0)</f>
        <v>0</v>
      </c>
      <c r="E193" s="5" t="n">
        <f aca="false">IFERROR(VLOOKUP(B193,'كتالوج المنتجات والتسعير'!$A$7:$J$36,7,FALSE()),0)</f>
        <v>0</v>
      </c>
      <c r="F193" s="5" t="n">
        <f aca="false">IFERROR(VLOOKUP(B193,'كتالوج المنتجات والتسعير'!$A$7:$J$36,6,FALSE()),0)</f>
        <v>0</v>
      </c>
      <c r="G193" s="5" t="n">
        <f aca="false">C193*D193</f>
        <v>0</v>
      </c>
      <c r="H193" s="5" t="n">
        <f aca="false">C193*E193</f>
        <v>0</v>
      </c>
      <c r="I193" s="5" t="n">
        <f aca="false">C193*F193</f>
        <v>0</v>
      </c>
      <c r="J193" s="5" t="n">
        <f aca="false">G193-H193</f>
        <v>0</v>
      </c>
    </row>
    <row r="194" customFormat="false" ht="15" hidden="false" customHeight="false" outlineLevel="0" collapsed="false">
      <c r="A194" s="9"/>
      <c r="B194" s="9"/>
      <c r="C194" s="22"/>
      <c r="D194" s="5" t="n">
        <f aca="false">IFERROR(VLOOKUP(B194,'كتالوج المنتجات والتسعير'!$A$7:$J$36,8,FALSE()),0)</f>
        <v>0</v>
      </c>
      <c r="E194" s="5" t="n">
        <f aca="false">IFERROR(VLOOKUP(B194,'كتالوج المنتجات والتسعير'!$A$7:$J$36,7,FALSE()),0)</f>
        <v>0</v>
      </c>
      <c r="F194" s="5" t="n">
        <f aca="false">IFERROR(VLOOKUP(B194,'كتالوج المنتجات والتسعير'!$A$7:$J$36,6,FALSE()),0)</f>
        <v>0</v>
      </c>
      <c r="G194" s="5" t="n">
        <f aca="false">C194*D194</f>
        <v>0</v>
      </c>
      <c r="H194" s="5" t="n">
        <f aca="false">C194*E194</f>
        <v>0</v>
      </c>
      <c r="I194" s="5" t="n">
        <f aca="false">C194*F194</f>
        <v>0</v>
      </c>
      <c r="J194" s="5" t="n">
        <f aca="false">G194-H194</f>
        <v>0</v>
      </c>
    </row>
    <row r="195" customFormat="false" ht="15" hidden="false" customHeight="false" outlineLevel="0" collapsed="false">
      <c r="A195" s="9"/>
      <c r="B195" s="9"/>
      <c r="C195" s="22"/>
      <c r="D195" s="5" t="n">
        <f aca="false">IFERROR(VLOOKUP(B195,'كتالوج المنتجات والتسعير'!$A$7:$J$36,8,FALSE()),0)</f>
        <v>0</v>
      </c>
      <c r="E195" s="5" t="n">
        <f aca="false">IFERROR(VLOOKUP(B195,'كتالوج المنتجات والتسعير'!$A$7:$J$36,7,FALSE()),0)</f>
        <v>0</v>
      </c>
      <c r="F195" s="5" t="n">
        <f aca="false">IFERROR(VLOOKUP(B195,'كتالوج المنتجات والتسعير'!$A$7:$J$36,6,FALSE()),0)</f>
        <v>0</v>
      </c>
      <c r="G195" s="5" t="n">
        <f aca="false">C195*D195</f>
        <v>0</v>
      </c>
      <c r="H195" s="5" t="n">
        <f aca="false">C195*E195</f>
        <v>0</v>
      </c>
      <c r="I195" s="5" t="n">
        <f aca="false">C195*F195</f>
        <v>0</v>
      </c>
      <c r="J195" s="5" t="n">
        <f aca="false">G195-H195</f>
        <v>0</v>
      </c>
    </row>
    <row r="196" customFormat="false" ht="15" hidden="false" customHeight="false" outlineLevel="0" collapsed="false">
      <c r="A196" s="9"/>
      <c r="B196" s="9"/>
      <c r="C196" s="22"/>
      <c r="D196" s="5" t="n">
        <f aca="false">IFERROR(VLOOKUP(B196,'كتالوج المنتجات والتسعير'!$A$7:$J$36,8,FALSE()),0)</f>
        <v>0</v>
      </c>
      <c r="E196" s="5" t="n">
        <f aca="false">IFERROR(VLOOKUP(B196,'كتالوج المنتجات والتسعير'!$A$7:$J$36,7,FALSE()),0)</f>
        <v>0</v>
      </c>
      <c r="F196" s="5" t="n">
        <f aca="false">IFERROR(VLOOKUP(B196,'كتالوج المنتجات والتسعير'!$A$7:$J$36,6,FALSE()),0)</f>
        <v>0</v>
      </c>
      <c r="G196" s="5" t="n">
        <f aca="false">C196*D196</f>
        <v>0</v>
      </c>
      <c r="H196" s="5" t="n">
        <f aca="false">C196*E196</f>
        <v>0</v>
      </c>
      <c r="I196" s="5" t="n">
        <f aca="false">C196*F196</f>
        <v>0</v>
      </c>
      <c r="J196" s="5" t="n">
        <f aca="false">G196-H196</f>
        <v>0</v>
      </c>
    </row>
    <row r="197" customFormat="false" ht="15" hidden="false" customHeight="false" outlineLevel="0" collapsed="false">
      <c r="A197" s="9"/>
      <c r="B197" s="9"/>
      <c r="C197" s="22"/>
      <c r="D197" s="5" t="n">
        <f aca="false">IFERROR(VLOOKUP(B197,'كتالوج المنتجات والتسعير'!$A$7:$J$36,8,FALSE()),0)</f>
        <v>0</v>
      </c>
      <c r="E197" s="5" t="n">
        <f aca="false">IFERROR(VLOOKUP(B197,'كتالوج المنتجات والتسعير'!$A$7:$J$36,7,FALSE()),0)</f>
        <v>0</v>
      </c>
      <c r="F197" s="5" t="n">
        <f aca="false">IFERROR(VLOOKUP(B197,'كتالوج المنتجات والتسعير'!$A$7:$J$36,6,FALSE()),0)</f>
        <v>0</v>
      </c>
      <c r="G197" s="5" t="n">
        <f aca="false">C197*D197</f>
        <v>0</v>
      </c>
      <c r="H197" s="5" t="n">
        <f aca="false">C197*E197</f>
        <v>0</v>
      </c>
      <c r="I197" s="5" t="n">
        <f aca="false">C197*F197</f>
        <v>0</v>
      </c>
      <c r="J197" s="5" t="n">
        <f aca="false">G197-H197</f>
        <v>0</v>
      </c>
    </row>
    <row r="198" customFormat="false" ht="15" hidden="false" customHeight="false" outlineLevel="0" collapsed="false">
      <c r="A198" s="9"/>
      <c r="B198" s="9"/>
      <c r="C198" s="22"/>
      <c r="D198" s="5" t="n">
        <f aca="false">IFERROR(VLOOKUP(B198,'كتالوج المنتجات والتسعير'!$A$7:$J$36,8,FALSE()),0)</f>
        <v>0</v>
      </c>
      <c r="E198" s="5" t="n">
        <f aca="false">IFERROR(VLOOKUP(B198,'كتالوج المنتجات والتسعير'!$A$7:$J$36,7,FALSE()),0)</f>
        <v>0</v>
      </c>
      <c r="F198" s="5" t="n">
        <f aca="false">IFERROR(VLOOKUP(B198,'كتالوج المنتجات والتسعير'!$A$7:$J$36,6,FALSE()),0)</f>
        <v>0</v>
      </c>
      <c r="G198" s="5" t="n">
        <f aca="false">C198*D198</f>
        <v>0</v>
      </c>
      <c r="H198" s="5" t="n">
        <f aca="false">C198*E198</f>
        <v>0</v>
      </c>
      <c r="I198" s="5" t="n">
        <f aca="false">C198*F198</f>
        <v>0</v>
      </c>
      <c r="J198" s="5" t="n">
        <f aca="false">G198-H198</f>
        <v>0</v>
      </c>
    </row>
    <row r="199" customFormat="false" ht="15" hidden="false" customHeight="false" outlineLevel="0" collapsed="false">
      <c r="A199" s="9"/>
      <c r="B199" s="9"/>
      <c r="C199" s="22"/>
      <c r="D199" s="5" t="n">
        <f aca="false">IFERROR(VLOOKUP(B199,'كتالوج المنتجات والتسعير'!$A$7:$J$36,8,FALSE()),0)</f>
        <v>0</v>
      </c>
      <c r="E199" s="5" t="n">
        <f aca="false">IFERROR(VLOOKUP(B199,'كتالوج المنتجات والتسعير'!$A$7:$J$36,7,FALSE()),0)</f>
        <v>0</v>
      </c>
      <c r="F199" s="5" t="n">
        <f aca="false">IFERROR(VLOOKUP(B199,'كتالوج المنتجات والتسعير'!$A$7:$J$36,6,FALSE()),0)</f>
        <v>0</v>
      </c>
      <c r="G199" s="5" t="n">
        <f aca="false">C199*D199</f>
        <v>0</v>
      </c>
      <c r="H199" s="5" t="n">
        <f aca="false">C199*E199</f>
        <v>0</v>
      </c>
      <c r="I199" s="5" t="n">
        <f aca="false">C199*F199</f>
        <v>0</v>
      </c>
      <c r="J199" s="5" t="n">
        <f aca="false">G199-H199</f>
        <v>0</v>
      </c>
    </row>
    <row r="200" customFormat="false" ht="15" hidden="false" customHeight="false" outlineLevel="0" collapsed="false">
      <c r="A200" s="9"/>
      <c r="B200" s="9"/>
      <c r="C200" s="22"/>
      <c r="D200" s="5" t="n">
        <f aca="false">IFERROR(VLOOKUP(B200,'كتالوج المنتجات والتسعير'!$A$7:$J$36,8,FALSE()),0)</f>
        <v>0</v>
      </c>
      <c r="E200" s="5" t="n">
        <f aca="false">IFERROR(VLOOKUP(B200,'كتالوج المنتجات والتسعير'!$A$7:$J$36,7,FALSE()),0)</f>
        <v>0</v>
      </c>
      <c r="F200" s="5" t="n">
        <f aca="false">IFERROR(VLOOKUP(B200,'كتالوج المنتجات والتسعير'!$A$7:$J$36,6,FALSE()),0)</f>
        <v>0</v>
      </c>
      <c r="G200" s="5" t="n">
        <f aca="false">C200*D200</f>
        <v>0</v>
      </c>
      <c r="H200" s="5" t="n">
        <f aca="false">C200*E200</f>
        <v>0</v>
      </c>
      <c r="I200" s="5" t="n">
        <f aca="false">C200*F200</f>
        <v>0</v>
      </c>
      <c r="J200" s="5" t="n">
        <f aca="false">G200-H200</f>
        <v>0</v>
      </c>
    </row>
    <row r="201" customFormat="false" ht="15" hidden="false" customHeight="false" outlineLevel="0" collapsed="false">
      <c r="A201" s="9"/>
      <c r="B201" s="9"/>
      <c r="C201" s="22"/>
      <c r="D201" s="5" t="n">
        <f aca="false">IFERROR(VLOOKUP(B201,'كتالوج المنتجات والتسعير'!$A$7:$J$36,8,FALSE()),0)</f>
        <v>0</v>
      </c>
      <c r="E201" s="5" t="n">
        <f aca="false">IFERROR(VLOOKUP(B201,'كتالوج المنتجات والتسعير'!$A$7:$J$36,7,FALSE()),0)</f>
        <v>0</v>
      </c>
      <c r="F201" s="5" t="n">
        <f aca="false">IFERROR(VLOOKUP(B201,'كتالوج المنتجات والتسعير'!$A$7:$J$36,6,FALSE()),0)</f>
        <v>0</v>
      </c>
      <c r="G201" s="5" t="n">
        <f aca="false">C201*D201</f>
        <v>0</v>
      </c>
      <c r="H201" s="5" t="n">
        <f aca="false">C201*E201</f>
        <v>0</v>
      </c>
      <c r="I201" s="5" t="n">
        <f aca="false">C201*F201</f>
        <v>0</v>
      </c>
      <c r="J201" s="5" t="n">
        <f aca="false">G201-H201</f>
        <v>0</v>
      </c>
    </row>
    <row r="202" customFormat="false" ht="15" hidden="false" customHeight="false" outlineLevel="0" collapsed="false">
      <c r="A202" s="9"/>
      <c r="B202" s="9"/>
      <c r="C202" s="22"/>
      <c r="D202" s="5" t="n">
        <f aca="false">IFERROR(VLOOKUP(B202,'كتالوج المنتجات والتسعير'!$A$7:$J$36,8,FALSE()),0)</f>
        <v>0</v>
      </c>
      <c r="E202" s="5" t="n">
        <f aca="false">IFERROR(VLOOKUP(B202,'كتالوج المنتجات والتسعير'!$A$7:$J$36,7,FALSE()),0)</f>
        <v>0</v>
      </c>
      <c r="F202" s="5" t="n">
        <f aca="false">IFERROR(VLOOKUP(B202,'كتالوج المنتجات والتسعير'!$A$7:$J$36,6,FALSE()),0)</f>
        <v>0</v>
      </c>
      <c r="G202" s="5" t="n">
        <f aca="false">C202*D202</f>
        <v>0</v>
      </c>
      <c r="H202" s="5" t="n">
        <f aca="false">C202*E202</f>
        <v>0</v>
      </c>
      <c r="I202" s="5" t="n">
        <f aca="false">C202*F202</f>
        <v>0</v>
      </c>
      <c r="J202" s="5" t="n">
        <f aca="false">G202-H202</f>
        <v>0</v>
      </c>
    </row>
    <row r="204" customFormat="false" ht="15" hidden="false" customHeight="false" outlineLevel="0" collapsed="false">
      <c r="B204" s="14" t="s">
        <v>30</v>
      </c>
      <c r="C204" s="17" t="n">
        <f aca="false">SUM(C3:C202)</f>
        <v>0</v>
      </c>
      <c r="G204" s="15" t="n">
        <f aca="false">SUM(G3:G202)</f>
        <v>0</v>
      </c>
      <c r="H204" s="15" t="n">
        <f aca="false">SUM(H3:H202)</f>
        <v>0</v>
      </c>
      <c r="I204" s="15" t="n">
        <f aca="false">SUM(I3:I202)</f>
        <v>0</v>
      </c>
      <c r="J204" s="15" t="n">
        <f aca="false">SUM(J3:J202)</f>
        <v>0</v>
      </c>
    </row>
  </sheetData>
  <mergeCells count="1">
    <mergeCell ref="A1:J1"/>
  </mergeCells>
  <dataValidations count="1">
    <dataValidation allowBlank="true" errorStyle="stop" operator="between" showDropDown="false" showErrorMessage="false" showInputMessage="false" sqref="B3:B202" type="list">
      <formula1>'كتالوج المنتجات والتسعير'!$A$7:$A$36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102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5"/>
    <col collapsed="false" customWidth="true" hidden="false" outlineLevel="0" max="2" min="2" style="0" width="22"/>
    <col collapsed="false" customWidth="true" hidden="false" outlineLevel="0" max="3" min="3" style="0" width="16"/>
    <col collapsed="false" customWidth="true" hidden="false" outlineLevel="0" max="4" min="4" style="0" width="22"/>
    <col collapsed="false" customWidth="true" hidden="false" outlineLevel="0" max="5" min="5" style="0" width="30"/>
  </cols>
  <sheetData>
    <row r="1" customFormat="false" ht="30" hidden="false" customHeight="true" outlineLevel="0" collapsed="false">
      <c r="A1" s="1" t="s">
        <v>62</v>
      </c>
      <c r="B1" s="1"/>
      <c r="C1" s="1"/>
      <c r="D1" s="1"/>
      <c r="E1" s="1"/>
    </row>
    <row r="2" customFormat="false" ht="30" hidden="false" customHeight="true" outlineLevel="0" collapsed="false">
      <c r="A2" s="8" t="s">
        <v>21</v>
      </c>
      <c r="B2" s="8" t="s">
        <v>63</v>
      </c>
      <c r="C2" s="8" t="s">
        <v>64</v>
      </c>
      <c r="D2" s="8" t="s">
        <v>65</v>
      </c>
      <c r="E2" s="8" t="s">
        <v>66</v>
      </c>
    </row>
    <row r="3" customFormat="false" ht="15" hidden="false" customHeight="false" outlineLevel="0" collapsed="false">
      <c r="A3" s="9"/>
      <c r="B3" s="12"/>
      <c r="C3" s="10"/>
      <c r="D3" s="12"/>
      <c r="E3" s="12"/>
    </row>
    <row r="4" customFormat="false" ht="15" hidden="false" customHeight="false" outlineLevel="0" collapsed="false">
      <c r="A4" s="9"/>
      <c r="B4" s="12"/>
      <c r="C4" s="10"/>
      <c r="D4" s="12"/>
      <c r="E4" s="12"/>
    </row>
    <row r="5" customFormat="false" ht="15" hidden="false" customHeight="false" outlineLevel="0" collapsed="false">
      <c r="A5" s="9"/>
      <c r="B5" s="12"/>
      <c r="C5" s="10"/>
      <c r="D5" s="12"/>
      <c r="E5" s="12"/>
    </row>
    <row r="6" customFormat="false" ht="15" hidden="false" customHeight="false" outlineLevel="0" collapsed="false">
      <c r="A6" s="9"/>
      <c r="B6" s="12"/>
      <c r="C6" s="10"/>
      <c r="D6" s="12"/>
      <c r="E6" s="12"/>
    </row>
    <row r="7" customFormat="false" ht="15" hidden="false" customHeight="false" outlineLevel="0" collapsed="false">
      <c r="A7" s="9"/>
      <c r="B7" s="12"/>
      <c r="C7" s="10"/>
      <c r="D7" s="12"/>
      <c r="E7" s="12"/>
    </row>
    <row r="8" customFormat="false" ht="15" hidden="false" customHeight="false" outlineLevel="0" collapsed="false">
      <c r="A8" s="9"/>
      <c r="B8" s="12"/>
      <c r="C8" s="10"/>
      <c r="D8" s="12"/>
      <c r="E8" s="12"/>
    </row>
    <row r="9" customFormat="false" ht="15" hidden="false" customHeight="false" outlineLevel="0" collapsed="false">
      <c r="A9" s="9"/>
      <c r="B9" s="12"/>
      <c r="C9" s="10"/>
      <c r="D9" s="12"/>
      <c r="E9" s="12"/>
    </row>
    <row r="10" customFormat="false" ht="15" hidden="false" customHeight="false" outlineLevel="0" collapsed="false">
      <c r="A10" s="9"/>
      <c r="B10" s="12"/>
      <c r="C10" s="10"/>
      <c r="D10" s="12"/>
      <c r="E10" s="12"/>
    </row>
    <row r="11" customFormat="false" ht="15" hidden="false" customHeight="false" outlineLevel="0" collapsed="false">
      <c r="A11" s="9"/>
      <c r="B11" s="12"/>
      <c r="C11" s="10"/>
      <c r="D11" s="12"/>
      <c r="E11" s="12"/>
    </row>
    <row r="12" customFormat="false" ht="15" hidden="false" customHeight="false" outlineLevel="0" collapsed="false">
      <c r="A12" s="9"/>
      <c r="B12" s="12"/>
      <c r="C12" s="10"/>
      <c r="D12" s="12"/>
      <c r="E12" s="12"/>
    </row>
    <row r="13" customFormat="false" ht="15" hidden="false" customHeight="false" outlineLevel="0" collapsed="false">
      <c r="A13" s="9"/>
      <c r="B13" s="12"/>
      <c r="C13" s="10"/>
      <c r="D13" s="12"/>
      <c r="E13" s="12"/>
    </row>
    <row r="14" customFormat="false" ht="15" hidden="false" customHeight="false" outlineLevel="0" collapsed="false">
      <c r="A14" s="9"/>
      <c r="B14" s="12"/>
      <c r="C14" s="10"/>
      <c r="D14" s="12"/>
      <c r="E14" s="12"/>
    </row>
    <row r="15" customFormat="false" ht="15" hidden="false" customHeight="false" outlineLevel="0" collapsed="false">
      <c r="A15" s="9"/>
      <c r="B15" s="12"/>
      <c r="C15" s="10"/>
      <c r="D15" s="12"/>
      <c r="E15" s="12"/>
    </row>
    <row r="16" customFormat="false" ht="15" hidden="false" customHeight="false" outlineLevel="0" collapsed="false">
      <c r="A16" s="9"/>
      <c r="B16" s="12"/>
      <c r="C16" s="10"/>
      <c r="D16" s="12"/>
      <c r="E16" s="12"/>
    </row>
    <row r="17" customFormat="false" ht="15" hidden="false" customHeight="false" outlineLevel="0" collapsed="false">
      <c r="A17" s="9"/>
      <c r="B17" s="12"/>
      <c r="C17" s="10"/>
      <c r="D17" s="12"/>
      <c r="E17" s="12"/>
    </row>
    <row r="18" customFormat="false" ht="15" hidden="false" customHeight="false" outlineLevel="0" collapsed="false">
      <c r="A18" s="9"/>
      <c r="B18" s="12"/>
      <c r="C18" s="10"/>
      <c r="D18" s="12"/>
      <c r="E18" s="12"/>
    </row>
    <row r="19" customFormat="false" ht="15" hidden="false" customHeight="false" outlineLevel="0" collapsed="false">
      <c r="A19" s="9"/>
      <c r="B19" s="12"/>
      <c r="C19" s="10"/>
      <c r="D19" s="12"/>
      <c r="E19" s="12"/>
    </row>
    <row r="20" customFormat="false" ht="15" hidden="false" customHeight="false" outlineLevel="0" collapsed="false">
      <c r="A20" s="9"/>
      <c r="B20" s="12"/>
      <c r="C20" s="10"/>
      <c r="D20" s="12"/>
      <c r="E20" s="12"/>
    </row>
    <row r="21" customFormat="false" ht="15" hidden="false" customHeight="false" outlineLevel="0" collapsed="false">
      <c r="A21" s="9"/>
      <c r="B21" s="12"/>
      <c r="C21" s="10"/>
      <c r="D21" s="12"/>
      <c r="E21" s="12"/>
    </row>
    <row r="22" customFormat="false" ht="15" hidden="false" customHeight="false" outlineLevel="0" collapsed="false">
      <c r="A22" s="9"/>
      <c r="B22" s="12"/>
      <c r="C22" s="10"/>
      <c r="D22" s="12"/>
      <c r="E22" s="12"/>
    </row>
    <row r="23" customFormat="false" ht="15" hidden="false" customHeight="false" outlineLevel="0" collapsed="false">
      <c r="A23" s="9"/>
      <c r="B23" s="12"/>
      <c r="C23" s="10"/>
      <c r="D23" s="12"/>
      <c r="E23" s="12"/>
    </row>
    <row r="24" customFormat="false" ht="15" hidden="false" customHeight="false" outlineLevel="0" collapsed="false">
      <c r="A24" s="9"/>
      <c r="B24" s="12"/>
      <c r="C24" s="10"/>
      <c r="D24" s="12"/>
      <c r="E24" s="12"/>
    </row>
    <row r="25" customFormat="false" ht="15" hidden="false" customHeight="false" outlineLevel="0" collapsed="false">
      <c r="A25" s="9"/>
      <c r="B25" s="12"/>
      <c r="C25" s="10"/>
      <c r="D25" s="12"/>
      <c r="E25" s="12"/>
    </row>
    <row r="26" customFormat="false" ht="15" hidden="false" customHeight="false" outlineLevel="0" collapsed="false">
      <c r="A26" s="9"/>
      <c r="B26" s="12"/>
      <c r="C26" s="10"/>
      <c r="D26" s="12"/>
      <c r="E26" s="12"/>
    </row>
    <row r="27" customFormat="false" ht="15" hidden="false" customHeight="false" outlineLevel="0" collapsed="false">
      <c r="A27" s="9"/>
      <c r="B27" s="12"/>
      <c r="C27" s="10"/>
      <c r="D27" s="12"/>
      <c r="E27" s="12"/>
    </row>
    <row r="28" customFormat="false" ht="15" hidden="false" customHeight="false" outlineLevel="0" collapsed="false">
      <c r="A28" s="9"/>
      <c r="B28" s="12"/>
      <c r="C28" s="10"/>
      <c r="D28" s="12"/>
      <c r="E28" s="12"/>
    </row>
    <row r="29" customFormat="false" ht="15" hidden="false" customHeight="false" outlineLevel="0" collapsed="false">
      <c r="A29" s="9"/>
      <c r="B29" s="12"/>
      <c r="C29" s="10"/>
      <c r="D29" s="12"/>
      <c r="E29" s="12"/>
    </row>
    <row r="30" customFormat="false" ht="15" hidden="false" customHeight="false" outlineLevel="0" collapsed="false">
      <c r="A30" s="9"/>
      <c r="B30" s="12"/>
      <c r="C30" s="10"/>
      <c r="D30" s="12"/>
      <c r="E30" s="12"/>
    </row>
    <row r="31" customFormat="false" ht="15" hidden="false" customHeight="false" outlineLevel="0" collapsed="false">
      <c r="A31" s="9"/>
      <c r="B31" s="12"/>
      <c r="C31" s="10"/>
      <c r="D31" s="12"/>
      <c r="E31" s="12"/>
    </row>
    <row r="32" customFormat="false" ht="15" hidden="false" customHeight="false" outlineLevel="0" collapsed="false">
      <c r="A32" s="9"/>
      <c r="B32" s="12"/>
      <c r="C32" s="10"/>
      <c r="D32" s="12"/>
      <c r="E32" s="12"/>
    </row>
    <row r="33" customFormat="false" ht="15" hidden="false" customHeight="false" outlineLevel="0" collapsed="false">
      <c r="A33" s="9"/>
      <c r="B33" s="12"/>
      <c r="C33" s="10"/>
      <c r="D33" s="12"/>
      <c r="E33" s="12"/>
    </row>
    <row r="34" customFormat="false" ht="15" hidden="false" customHeight="false" outlineLevel="0" collapsed="false">
      <c r="A34" s="9"/>
      <c r="B34" s="12"/>
      <c r="C34" s="10"/>
      <c r="D34" s="12"/>
      <c r="E34" s="12"/>
    </row>
    <row r="35" customFormat="false" ht="15" hidden="false" customHeight="false" outlineLevel="0" collapsed="false">
      <c r="A35" s="9"/>
      <c r="B35" s="12"/>
      <c r="C35" s="10"/>
      <c r="D35" s="12"/>
      <c r="E35" s="12"/>
    </row>
    <row r="36" customFormat="false" ht="15" hidden="false" customHeight="false" outlineLevel="0" collapsed="false">
      <c r="A36" s="9"/>
      <c r="B36" s="12"/>
      <c r="C36" s="10"/>
      <c r="D36" s="12"/>
      <c r="E36" s="12"/>
    </row>
    <row r="37" customFormat="false" ht="15" hidden="false" customHeight="false" outlineLevel="0" collapsed="false">
      <c r="A37" s="9"/>
      <c r="B37" s="12"/>
      <c r="C37" s="10"/>
      <c r="D37" s="12"/>
      <c r="E37" s="12"/>
    </row>
    <row r="38" customFormat="false" ht="15" hidden="false" customHeight="false" outlineLevel="0" collapsed="false">
      <c r="A38" s="9"/>
      <c r="B38" s="12"/>
      <c r="C38" s="10"/>
      <c r="D38" s="12"/>
      <c r="E38" s="12"/>
    </row>
    <row r="39" customFormat="false" ht="15" hidden="false" customHeight="false" outlineLevel="0" collapsed="false">
      <c r="A39" s="9"/>
      <c r="B39" s="12"/>
      <c r="C39" s="10"/>
      <c r="D39" s="12"/>
      <c r="E39" s="12"/>
    </row>
    <row r="40" customFormat="false" ht="15" hidden="false" customHeight="false" outlineLevel="0" collapsed="false">
      <c r="A40" s="9"/>
      <c r="B40" s="12"/>
      <c r="C40" s="10"/>
      <c r="D40" s="12"/>
      <c r="E40" s="12"/>
    </row>
    <row r="41" customFormat="false" ht="15" hidden="false" customHeight="false" outlineLevel="0" collapsed="false">
      <c r="A41" s="9"/>
      <c r="B41" s="12"/>
      <c r="C41" s="10"/>
      <c r="D41" s="12"/>
      <c r="E41" s="12"/>
    </row>
    <row r="42" customFormat="false" ht="15" hidden="false" customHeight="false" outlineLevel="0" collapsed="false">
      <c r="A42" s="9"/>
      <c r="B42" s="12"/>
      <c r="C42" s="10"/>
      <c r="D42" s="12"/>
      <c r="E42" s="12"/>
    </row>
    <row r="43" customFormat="false" ht="15" hidden="false" customHeight="false" outlineLevel="0" collapsed="false">
      <c r="A43" s="9"/>
      <c r="B43" s="12"/>
      <c r="C43" s="10"/>
      <c r="D43" s="12"/>
      <c r="E43" s="12"/>
    </row>
    <row r="44" customFormat="false" ht="15" hidden="false" customHeight="false" outlineLevel="0" collapsed="false">
      <c r="A44" s="9"/>
      <c r="B44" s="12"/>
      <c r="C44" s="10"/>
      <c r="D44" s="12"/>
      <c r="E44" s="12"/>
    </row>
    <row r="45" customFormat="false" ht="15" hidden="false" customHeight="false" outlineLevel="0" collapsed="false">
      <c r="A45" s="9"/>
      <c r="B45" s="12"/>
      <c r="C45" s="10"/>
      <c r="D45" s="12"/>
      <c r="E45" s="12"/>
    </row>
    <row r="46" customFormat="false" ht="15" hidden="false" customHeight="false" outlineLevel="0" collapsed="false">
      <c r="A46" s="9"/>
      <c r="B46" s="12"/>
      <c r="C46" s="10"/>
      <c r="D46" s="12"/>
      <c r="E46" s="12"/>
    </row>
    <row r="47" customFormat="false" ht="15" hidden="false" customHeight="false" outlineLevel="0" collapsed="false">
      <c r="A47" s="9"/>
      <c r="B47" s="12"/>
      <c r="C47" s="10"/>
      <c r="D47" s="12"/>
      <c r="E47" s="12"/>
    </row>
    <row r="48" customFormat="false" ht="15" hidden="false" customHeight="false" outlineLevel="0" collapsed="false">
      <c r="A48" s="9"/>
      <c r="B48" s="12"/>
      <c r="C48" s="10"/>
      <c r="D48" s="12"/>
      <c r="E48" s="12"/>
    </row>
    <row r="49" customFormat="false" ht="15" hidden="false" customHeight="false" outlineLevel="0" collapsed="false">
      <c r="A49" s="9"/>
      <c r="B49" s="12"/>
      <c r="C49" s="10"/>
      <c r="D49" s="12"/>
      <c r="E49" s="12"/>
    </row>
    <row r="50" customFormat="false" ht="15" hidden="false" customHeight="false" outlineLevel="0" collapsed="false">
      <c r="A50" s="9"/>
      <c r="B50" s="12"/>
      <c r="C50" s="10"/>
      <c r="D50" s="12"/>
      <c r="E50" s="12"/>
    </row>
    <row r="51" customFormat="false" ht="15" hidden="false" customHeight="false" outlineLevel="0" collapsed="false">
      <c r="A51" s="9"/>
      <c r="B51" s="12"/>
      <c r="C51" s="10"/>
      <c r="D51" s="12"/>
      <c r="E51" s="12"/>
    </row>
    <row r="52" customFormat="false" ht="15" hidden="false" customHeight="false" outlineLevel="0" collapsed="false">
      <c r="A52" s="9"/>
      <c r="B52" s="12"/>
      <c r="C52" s="10"/>
      <c r="D52" s="12"/>
      <c r="E52" s="12"/>
    </row>
    <row r="53" customFormat="false" ht="15" hidden="false" customHeight="false" outlineLevel="0" collapsed="false">
      <c r="A53" s="9"/>
      <c r="B53" s="12"/>
      <c r="C53" s="10"/>
      <c r="D53" s="12"/>
      <c r="E53" s="12"/>
    </row>
    <row r="54" customFormat="false" ht="15" hidden="false" customHeight="false" outlineLevel="0" collapsed="false">
      <c r="A54" s="9"/>
      <c r="B54" s="12"/>
      <c r="C54" s="10"/>
      <c r="D54" s="12"/>
      <c r="E54" s="12"/>
    </row>
    <row r="55" customFormat="false" ht="15" hidden="false" customHeight="false" outlineLevel="0" collapsed="false">
      <c r="A55" s="9"/>
      <c r="B55" s="12"/>
      <c r="C55" s="10"/>
      <c r="D55" s="12"/>
      <c r="E55" s="12"/>
    </row>
    <row r="56" customFormat="false" ht="15" hidden="false" customHeight="false" outlineLevel="0" collapsed="false">
      <c r="A56" s="9"/>
      <c r="B56" s="12"/>
      <c r="C56" s="10"/>
      <c r="D56" s="12"/>
      <c r="E56" s="12"/>
    </row>
    <row r="57" customFormat="false" ht="15" hidden="false" customHeight="false" outlineLevel="0" collapsed="false">
      <c r="A57" s="9"/>
      <c r="B57" s="12"/>
      <c r="C57" s="10"/>
      <c r="D57" s="12"/>
      <c r="E57" s="12"/>
    </row>
    <row r="58" customFormat="false" ht="15" hidden="false" customHeight="false" outlineLevel="0" collapsed="false">
      <c r="A58" s="9"/>
      <c r="B58" s="12"/>
      <c r="C58" s="10"/>
      <c r="D58" s="12"/>
      <c r="E58" s="12"/>
    </row>
    <row r="59" customFormat="false" ht="15" hidden="false" customHeight="false" outlineLevel="0" collapsed="false">
      <c r="A59" s="9"/>
      <c r="B59" s="12"/>
      <c r="C59" s="10"/>
      <c r="D59" s="12"/>
      <c r="E59" s="12"/>
    </row>
    <row r="60" customFormat="false" ht="15" hidden="false" customHeight="false" outlineLevel="0" collapsed="false">
      <c r="A60" s="9"/>
      <c r="B60" s="12"/>
      <c r="C60" s="10"/>
      <c r="D60" s="12"/>
      <c r="E60" s="12"/>
    </row>
    <row r="61" customFormat="false" ht="15" hidden="false" customHeight="false" outlineLevel="0" collapsed="false">
      <c r="A61" s="9"/>
      <c r="B61" s="12"/>
      <c r="C61" s="10"/>
      <c r="D61" s="12"/>
      <c r="E61" s="12"/>
    </row>
    <row r="62" customFormat="false" ht="15" hidden="false" customHeight="false" outlineLevel="0" collapsed="false">
      <c r="A62" s="9"/>
      <c r="B62" s="12"/>
      <c r="C62" s="10"/>
      <c r="D62" s="12"/>
      <c r="E62" s="12"/>
    </row>
    <row r="63" customFormat="false" ht="15" hidden="false" customHeight="false" outlineLevel="0" collapsed="false">
      <c r="A63" s="9"/>
      <c r="B63" s="12"/>
      <c r="C63" s="10"/>
      <c r="D63" s="12"/>
      <c r="E63" s="12"/>
    </row>
    <row r="64" customFormat="false" ht="15" hidden="false" customHeight="false" outlineLevel="0" collapsed="false">
      <c r="A64" s="9"/>
      <c r="B64" s="12"/>
      <c r="C64" s="10"/>
      <c r="D64" s="12"/>
      <c r="E64" s="12"/>
    </row>
    <row r="65" customFormat="false" ht="15" hidden="false" customHeight="false" outlineLevel="0" collapsed="false">
      <c r="A65" s="9"/>
      <c r="B65" s="12"/>
      <c r="C65" s="10"/>
      <c r="D65" s="12"/>
      <c r="E65" s="12"/>
    </row>
    <row r="66" customFormat="false" ht="15" hidden="false" customHeight="false" outlineLevel="0" collapsed="false">
      <c r="A66" s="9"/>
      <c r="B66" s="12"/>
      <c r="C66" s="10"/>
      <c r="D66" s="12"/>
      <c r="E66" s="12"/>
    </row>
    <row r="67" customFormat="false" ht="15" hidden="false" customHeight="false" outlineLevel="0" collapsed="false">
      <c r="A67" s="9"/>
      <c r="B67" s="12"/>
      <c r="C67" s="10"/>
      <c r="D67" s="12"/>
      <c r="E67" s="12"/>
    </row>
    <row r="68" customFormat="false" ht="15" hidden="false" customHeight="false" outlineLevel="0" collapsed="false">
      <c r="A68" s="9"/>
      <c r="B68" s="12"/>
      <c r="C68" s="10"/>
      <c r="D68" s="12"/>
      <c r="E68" s="12"/>
    </row>
    <row r="69" customFormat="false" ht="15" hidden="false" customHeight="false" outlineLevel="0" collapsed="false">
      <c r="A69" s="9"/>
      <c r="B69" s="12"/>
      <c r="C69" s="10"/>
      <c r="D69" s="12"/>
      <c r="E69" s="12"/>
    </row>
    <row r="70" customFormat="false" ht="15" hidden="false" customHeight="false" outlineLevel="0" collapsed="false">
      <c r="A70" s="9"/>
      <c r="B70" s="12"/>
      <c r="C70" s="10"/>
      <c r="D70" s="12"/>
      <c r="E70" s="12"/>
    </row>
    <row r="71" customFormat="false" ht="15" hidden="false" customHeight="false" outlineLevel="0" collapsed="false">
      <c r="A71" s="9"/>
      <c r="B71" s="12"/>
      <c r="C71" s="10"/>
      <c r="D71" s="12"/>
      <c r="E71" s="12"/>
    </row>
    <row r="72" customFormat="false" ht="15" hidden="false" customHeight="false" outlineLevel="0" collapsed="false">
      <c r="A72" s="9"/>
      <c r="B72" s="12"/>
      <c r="C72" s="10"/>
      <c r="D72" s="12"/>
      <c r="E72" s="12"/>
    </row>
    <row r="73" customFormat="false" ht="15" hidden="false" customHeight="false" outlineLevel="0" collapsed="false">
      <c r="A73" s="9"/>
      <c r="B73" s="12"/>
      <c r="C73" s="10"/>
      <c r="D73" s="12"/>
      <c r="E73" s="12"/>
    </row>
    <row r="74" customFormat="false" ht="15" hidden="false" customHeight="false" outlineLevel="0" collapsed="false">
      <c r="A74" s="9"/>
      <c r="B74" s="12"/>
      <c r="C74" s="10"/>
      <c r="D74" s="12"/>
      <c r="E74" s="12"/>
    </row>
    <row r="75" customFormat="false" ht="15" hidden="false" customHeight="false" outlineLevel="0" collapsed="false">
      <c r="A75" s="9"/>
      <c r="B75" s="12"/>
      <c r="C75" s="10"/>
      <c r="D75" s="12"/>
      <c r="E75" s="12"/>
    </row>
    <row r="76" customFormat="false" ht="15" hidden="false" customHeight="false" outlineLevel="0" collapsed="false">
      <c r="A76" s="9"/>
      <c r="B76" s="12"/>
      <c r="C76" s="10"/>
      <c r="D76" s="12"/>
      <c r="E76" s="12"/>
    </row>
    <row r="77" customFormat="false" ht="15" hidden="false" customHeight="false" outlineLevel="0" collapsed="false">
      <c r="A77" s="9"/>
      <c r="B77" s="12"/>
      <c r="C77" s="10"/>
      <c r="D77" s="12"/>
      <c r="E77" s="12"/>
    </row>
    <row r="78" customFormat="false" ht="15" hidden="false" customHeight="false" outlineLevel="0" collapsed="false">
      <c r="A78" s="9"/>
      <c r="B78" s="12"/>
      <c r="C78" s="10"/>
      <c r="D78" s="12"/>
      <c r="E78" s="12"/>
    </row>
    <row r="79" customFormat="false" ht="15" hidden="false" customHeight="false" outlineLevel="0" collapsed="false">
      <c r="A79" s="9"/>
      <c r="B79" s="12"/>
      <c r="C79" s="10"/>
      <c r="D79" s="12"/>
      <c r="E79" s="12"/>
    </row>
    <row r="80" customFormat="false" ht="15" hidden="false" customHeight="false" outlineLevel="0" collapsed="false">
      <c r="A80" s="9"/>
      <c r="B80" s="12"/>
      <c r="C80" s="10"/>
      <c r="D80" s="12"/>
      <c r="E80" s="12"/>
    </row>
    <row r="81" customFormat="false" ht="15" hidden="false" customHeight="false" outlineLevel="0" collapsed="false">
      <c r="A81" s="9"/>
      <c r="B81" s="12"/>
      <c r="C81" s="10"/>
      <c r="D81" s="12"/>
      <c r="E81" s="12"/>
    </row>
    <row r="82" customFormat="false" ht="15" hidden="false" customHeight="false" outlineLevel="0" collapsed="false">
      <c r="A82" s="9"/>
      <c r="B82" s="12"/>
      <c r="C82" s="10"/>
      <c r="D82" s="12"/>
      <c r="E82" s="12"/>
    </row>
    <row r="83" customFormat="false" ht="15" hidden="false" customHeight="false" outlineLevel="0" collapsed="false">
      <c r="A83" s="9"/>
      <c r="B83" s="12"/>
      <c r="C83" s="10"/>
      <c r="D83" s="12"/>
      <c r="E83" s="12"/>
    </row>
    <row r="84" customFormat="false" ht="15" hidden="false" customHeight="false" outlineLevel="0" collapsed="false">
      <c r="A84" s="9"/>
      <c r="B84" s="12"/>
      <c r="C84" s="10"/>
      <c r="D84" s="12"/>
      <c r="E84" s="12"/>
    </row>
    <row r="85" customFormat="false" ht="15" hidden="false" customHeight="false" outlineLevel="0" collapsed="false">
      <c r="A85" s="9"/>
      <c r="B85" s="12"/>
      <c r="C85" s="10"/>
      <c r="D85" s="12"/>
      <c r="E85" s="12"/>
    </row>
    <row r="86" customFormat="false" ht="15" hidden="false" customHeight="false" outlineLevel="0" collapsed="false">
      <c r="A86" s="9"/>
      <c r="B86" s="12"/>
      <c r="C86" s="10"/>
      <c r="D86" s="12"/>
      <c r="E86" s="12"/>
    </row>
    <row r="87" customFormat="false" ht="15" hidden="false" customHeight="false" outlineLevel="0" collapsed="false">
      <c r="A87" s="9"/>
      <c r="B87" s="12"/>
      <c r="C87" s="10"/>
      <c r="D87" s="12"/>
      <c r="E87" s="12"/>
    </row>
    <row r="88" customFormat="false" ht="15" hidden="false" customHeight="false" outlineLevel="0" collapsed="false">
      <c r="A88" s="9"/>
      <c r="B88" s="12"/>
      <c r="C88" s="10"/>
      <c r="D88" s="12"/>
      <c r="E88" s="12"/>
    </row>
    <row r="89" customFormat="false" ht="15" hidden="false" customHeight="false" outlineLevel="0" collapsed="false">
      <c r="A89" s="9"/>
      <c r="B89" s="12"/>
      <c r="C89" s="10"/>
      <c r="D89" s="12"/>
      <c r="E89" s="12"/>
    </row>
    <row r="90" customFormat="false" ht="15" hidden="false" customHeight="false" outlineLevel="0" collapsed="false">
      <c r="A90" s="9"/>
      <c r="B90" s="12"/>
      <c r="C90" s="10"/>
      <c r="D90" s="12"/>
      <c r="E90" s="12"/>
    </row>
    <row r="91" customFormat="false" ht="15" hidden="false" customHeight="false" outlineLevel="0" collapsed="false">
      <c r="A91" s="9"/>
      <c r="B91" s="12"/>
      <c r="C91" s="10"/>
      <c r="D91" s="12"/>
      <c r="E91" s="12"/>
    </row>
    <row r="92" customFormat="false" ht="15" hidden="false" customHeight="false" outlineLevel="0" collapsed="false">
      <c r="A92" s="9"/>
      <c r="B92" s="12"/>
      <c r="C92" s="10"/>
      <c r="D92" s="12"/>
      <c r="E92" s="12"/>
    </row>
    <row r="93" customFormat="false" ht="15" hidden="false" customHeight="false" outlineLevel="0" collapsed="false">
      <c r="A93" s="9"/>
      <c r="B93" s="12"/>
      <c r="C93" s="10"/>
      <c r="D93" s="12"/>
      <c r="E93" s="12"/>
    </row>
    <row r="94" customFormat="false" ht="15" hidden="false" customHeight="false" outlineLevel="0" collapsed="false">
      <c r="A94" s="9"/>
      <c r="B94" s="12"/>
      <c r="C94" s="10"/>
      <c r="D94" s="12"/>
      <c r="E94" s="12"/>
    </row>
    <row r="95" customFormat="false" ht="15" hidden="false" customHeight="false" outlineLevel="0" collapsed="false">
      <c r="A95" s="9"/>
      <c r="B95" s="12"/>
      <c r="C95" s="10"/>
      <c r="D95" s="12"/>
      <c r="E95" s="12"/>
    </row>
    <row r="96" customFormat="false" ht="15" hidden="false" customHeight="false" outlineLevel="0" collapsed="false">
      <c r="A96" s="9"/>
      <c r="B96" s="12"/>
      <c r="C96" s="10"/>
      <c r="D96" s="12"/>
      <c r="E96" s="12"/>
    </row>
    <row r="97" customFormat="false" ht="15" hidden="false" customHeight="false" outlineLevel="0" collapsed="false">
      <c r="A97" s="9"/>
      <c r="B97" s="12"/>
      <c r="C97" s="10"/>
      <c r="D97" s="12"/>
      <c r="E97" s="12"/>
    </row>
    <row r="98" customFormat="false" ht="15" hidden="false" customHeight="false" outlineLevel="0" collapsed="false">
      <c r="A98" s="9"/>
      <c r="B98" s="12"/>
      <c r="C98" s="10"/>
      <c r="D98" s="12"/>
      <c r="E98" s="12"/>
    </row>
    <row r="99" customFormat="false" ht="15" hidden="false" customHeight="false" outlineLevel="0" collapsed="false">
      <c r="A99" s="9"/>
      <c r="B99" s="12"/>
      <c r="C99" s="10"/>
      <c r="D99" s="12"/>
      <c r="E99" s="12"/>
    </row>
    <row r="100" customFormat="false" ht="15" hidden="false" customHeight="false" outlineLevel="0" collapsed="false">
      <c r="A100" s="9"/>
      <c r="B100" s="12"/>
      <c r="C100" s="10"/>
      <c r="D100" s="12"/>
      <c r="E100" s="12"/>
    </row>
    <row r="102" customFormat="false" ht="15" hidden="false" customHeight="false" outlineLevel="0" collapsed="false">
      <c r="B102" s="14" t="s">
        <v>30</v>
      </c>
      <c r="C102" s="15" t="n">
        <f aca="false">SUM(C3:C100)</f>
        <v>0</v>
      </c>
    </row>
  </sheetData>
  <mergeCells count="1">
    <mergeCell ref="A1:E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8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42"/>
    <col collapsed="false" customWidth="true" hidden="false" outlineLevel="0" max="3" min="3" style="0" width="22"/>
  </cols>
  <sheetData>
    <row r="1" customFormat="false" ht="30" hidden="false" customHeight="true" outlineLevel="0" collapsed="false">
      <c r="A1" s="1" t="s">
        <v>67</v>
      </c>
      <c r="B1" s="1"/>
      <c r="C1" s="1"/>
    </row>
    <row r="2" customFormat="false" ht="15" hidden="false" customHeight="false" outlineLevel="0" collapsed="false">
      <c r="B2" s="3" t="s">
        <v>68</v>
      </c>
      <c r="C2" s="25" t="n">
        <v>0.5</v>
      </c>
    </row>
    <row r="3" customFormat="false" ht="15" hidden="false" customHeight="false" outlineLevel="0" collapsed="false">
      <c r="B3" s="3" t="s">
        <v>69</v>
      </c>
      <c r="C3" s="26" t="n">
        <f aca="false">1-C2</f>
        <v>0.5</v>
      </c>
    </row>
    <row r="4" customFormat="false" ht="15" hidden="false" customHeight="false" outlineLevel="0" collapsed="false">
      <c r="B4" s="3" t="s">
        <v>70</v>
      </c>
      <c r="C4" s="27" t="n">
        <f aca="false">'لوحة التحكم'!C17</f>
        <v>0</v>
      </c>
    </row>
    <row r="5" customFormat="false" ht="15" hidden="false" customHeight="false" outlineLevel="0" collapsed="false">
      <c r="B5" s="3" t="s">
        <v>71</v>
      </c>
      <c r="C5" s="27" t="n">
        <f aca="false">C4*C2</f>
        <v>0</v>
      </c>
    </row>
    <row r="6" customFormat="false" ht="15" hidden="false" customHeight="false" outlineLevel="0" collapsed="false">
      <c r="B6" s="3" t="s">
        <v>72</v>
      </c>
      <c r="C6" s="27" t="n">
        <f aca="false">C4*C3</f>
        <v>0</v>
      </c>
    </row>
    <row r="8" customFormat="false" ht="15" hidden="false" customHeight="false" outlineLevel="0" collapsed="false">
      <c r="B8" s="28" t="s">
        <v>73</v>
      </c>
      <c r="C8" s="28"/>
    </row>
  </sheetData>
  <mergeCells count="2">
    <mergeCell ref="A1:C1"/>
    <mergeCell ref="B8:C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7"/>
  <sheetViews>
    <sheetView showFormulas="false" showGridLines="true" showRowColHeaders="true" showZeros="true" rightToLeft="tru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"/>
    <col collapsed="false" customWidth="true" hidden="false" outlineLevel="0" max="2" min="2" style="0" width="110"/>
  </cols>
  <sheetData>
    <row r="1" customFormat="false" ht="30" hidden="false" customHeight="true" outlineLevel="0" collapsed="false">
      <c r="A1" s="1" t="s">
        <v>74</v>
      </c>
      <c r="B1" s="1"/>
    </row>
    <row r="2" customFormat="false" ht="21.75" hidden="false" customHeight="true" outlineLevel="0" collapsed="false">
      <c r="B2" s="29" t="s">
        <v>75</v>
      </c>
    </row>
    <row r="3" customFormat="false" ht="21.75" hidden="false" customHeight="true" outlineLevel="0" collapsed="false">
      <c r="B3" s="30" t="s">
        <v>76</v>
      </c>
    </row>
    <row r="4" customFormat="false" ht="21.75" hidden="false" customHeight="true" outlineLevel="0" collapsed="false">
      <c r="B4" s="30" t="s">
        <v>77</v>
      </c>
    </row>
    <row r="5" customFormat="false" ht="21.75" hidden="false" customHeight="true" outlineLevel="0" collapsed="false">
      <c r="B5" s="30" t="s">
        <v>78</v>
      </c>
    </row>
    <row r="6" customFormat="false" ht="21.75" hidden="false" customHeight="true" outlineLevel="0" collapsed="false">
      <c r="B6" s="30" t="s">
        <v>79</v>
      </c>
    </row>
    <row r="7" customFormat="false" ht="21.75" hidden="false" customHeight="true" outlineLevel="0" collapsed="false">
      <c r="B7" s="30" t="s">
        <v>80</v>
      </c>
    </row>
    <row r="8" customFormat="false" ht="21.75" hidden="false" customHeight="true" outlineLevel="0" collapsed="false">
      <c r="B8" s="30" t="s">
        <v>81</v>
      </c>
    </row>
    <row r="9" customFormat="false" ht="21.75" hidden="false" customHeight="true" outlineLevel="0" collapsed="false">
      <c r="B9" s="30" t="s">
        <v>82</v>
      </c>
    </row>
    <row r="10" customFormat="false" ht="21.75" hidden="false" customHeight="true" outlineLevel="0" collapsed="false">
      <c r="B10" s="30" t="s">
        <v>83</v>
      </c>
    </row>
    <row r="11" customFormat="false" ht="21.75" hidden="false" customHeight="true" outlineLevel="0" collapsed="false">
      <c r="B11" s="30" t="s">
        <v>84</v>
      </c>
    </row>
    <row r="12" customFormat="false" ht="21.75" hidden="false" customHeight="true" outlineLevel="0" collapsed="false">
      <c r="B12" s="30"/>
    </row>
    <row r="13" customFormat="false" ht="21.75" hidden="false" customHeight="true" outlineLevel="0" collapsed="false">
      <c r="B13" s="29" t="s">
        <v>85</v>
      </c>
    </row>
    <row r="14" customFormat="false" ht="21.75" hidden="false" customHeight="true" outlineLevel="0" collapsed="false">
      <c r="B14" s="30" t="s">
        <v>86</v>
      </c>
    </row>
    <row r="15" customFormat="false" ht="21.75" hidden="false" customHeight="true" outlineLevel="0" collapsed="false">
      <c r="B15" s="30" t="s">
        <v>87</v>
      </c>
    </row>
    <row r="16" customFormat="false" ht="21.75" hidden="false" customHeight="true" outlineLevel="0" collapsed="false">
      <c r="B16" s="30" t="s">
        <v>88</v>
      </c>
    </row>
    <row r="17" customFormat="false" ht="21.75" hidden="false" customHeight="true" outlineLevel="0" collapsed="false">
      <c r="B17" s="30" t="s">
        <v>89</v>
      </c>
    </row>
  </sheetData>
  <mergeCells count="1">
    <mergeCell ref="A1:B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2026-06-10T19:13:16Z</dcterms:created>
  <dc:creator>openpyxl</dc:creator>
  <dc:description/>
  <dc:language>en-US</dc:language>
  <cp:lastModifiedBy/>
  <dcterms:modified xsi:type="dcterms:W3CDTF">2026-06-10T19:13:16Z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